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a6c1fa4a0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âmetros" sheetId="1" r:id="R7d1c706126504f35"/>
    <x:sheet xmlns:r="http://schemas.openxmlformats.org/officeDocument/2006/relationships" name="Simulador" sheetId="2" r:id="R38341a6225774e88"/>
    <x:sheet xmlns:r="http://schemas.openxmlformats.org/officeDocument/2006/relationships" name="Contrato" sheetId="3" r:id="R2ac968f7fc21492f"/>
    <x:sheet xmlns:r="http://schemas.openxmlformats.org/officeDocument/2006/relationships" name="Cronograma Visão Adm" sheetId="4" r:id="R39f6042f6302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;[Red](0.00%);-"/>
    <x:numFmt numFmtId="201" formatCode="R$ #,##0.00;[Red](R$ #,##0.00);-"/>
    <x:numFmt numFmtId="202" formatCode="#,##0;[Red](#,##0);-"/>
    <x:numFmt numFmtId="203" formatCode="0.0000"/>
    <x:numFmt numFmtId="204" formatCode="dd/mm/yyyy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83F66"/>
      <x:name val="Carlito"/>
    </x:font>
    <x:font>
      <x:sz val="11"/>
      <x:color rgb="FF008000"/>
      <x:name val="Carlito"/>
    </x:font>
    <x:font>
      <x:i/>
      <x:sz val="11"/>
      <x:color rgb="FF6B7280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F6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4" fontId="3" fillId="3" borderId="0" xfId="0" applyNumberFormat="1" applyFont="1" applyFill="1" applyBorder="1"/>
    <x:xf numFmtId="204" fontId="3" fillId="3" borderId="1" xfId="0" applyNumberFormat="1" applyFont="1" applyFill="1" applyBorder="1"/>
    <x:xf numFmtId="200" fontId="3" fillId="3" borderId="0" xfId="0" applyNumberFormat="1" applyFont="1" applyFill="1" applyBorder="1"/>
    <x:xf numFmtId="200" fontId="3" fillId="3" borderId="1" xfId="0" applyNumberFormat="1" applyFont="1" applyFill="1" applyBorder="1"/>
    <x:xf numFmtId="201" fontId="3" fillId="3" borderId="0" xfId="0" applyNumberFormat="1" applyFont="1" applyFill="1" applyBorder="1"/>
    <x:xf numFmtId="201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4" fontId="3" fillId="3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4" fontId="3" fillId="3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b1f57182a4022" /><Relationship Type="http://schemas.openxmlformats.org/officeDocument/2006/relationships/theme" Target="/xl/theme/theme1.xml" Id="R9a73a5b6de084242" /><Relationship Type="http://schemas.openxmlformats.org/officeDocument/2006/relationships/sharedStrings" Target="/xl/sharedStrings.xml" Id="R6f653323fd6246aa" /><Relationship Type="http://schemas.openxmlformats.org/officeDocument/2006/relationships/worksheet" Target="/xl/worksheets/sheet1.xml" Id="R7d1c706126504f35" /><Relationship Type="http://schemas.openxmlformats.org/officeDocument/2006/relationships/worksheet" Target="/xl/worksheets/sheet2.xml" Id="R38341a6225774e88" /><Relationship Type="http://schemas.openxmlformats.org/officeDocument/2006/relationships/worksheet" Target="/xl/worksheets/sheet3.xml" Id="R2ac968f7fc21492f" /><Relationship Type="http://schemas.openxmlformats.org/officeDocument/2006/relationships/worksheet" Target="/xl/worksheets/sheet4.xml" Id="R39f6042f6302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52" hidden="0" customWidth="1"/>
  </x:cols>
  <x:sheetData>
    <x:row r="1">
      <x:c r="A1" s="28" t="str">
        <x:v>PARÂMETROS DO PRODUTO — NOVAÇÃO DE CONTRATO</x:v>
      </x:c>
      <x:c r="B1" s="28" t="str">
        <x:v>PARÂMETROS DO PRODUTO — NOVAÇÃO DE CONTRATO</x:v>
      </x:c>
      <x:c r="C1" s="28" t="str">
        <x:v>PARÂMETROS DO PRODUTO — NOVAÇÃO DE CONTRATO</x:v>
      </x:c>
      <x:c r="D1" s="28" t="str">
        <x:v>PARÂMETROS DO PRODUTO — NOVAÇÃO DE CONTRATO</x:v>
      </x:c>
    </x:row>
    <x:row r="2">
      <x:c r="A2" s="29"/>
      <x:c r="B2" s="29"/>
      <x:c r="C2" s="29"/>
      <x:c r="D2" s="29"/>
    </x:row>
    <x:row r="3">
      <x:c r="A3" s="14" t="str">
        <x:v>Código</x:v>
      </x:c>
      <x:c r="B3" s="14" t="str">
        <x:v>Parâmetro</x:v>
      </x:c>
      <x:c r="C3" s="14" t="str">
        <x:v>Valor / regra</x:v>
      </x:c>
      <x:c r="D3" s="14" t="str">
        <x:v>Observação / fonte</x:v>
      </x:c>
    </x:row>
    <x:row r="4">
      <x:c r="A4" s="29" t="str">
        <x:v>NV001</x:v>
      </x:c>
      <x:c r="B4" s="29" t="str">
        <x:v>Nome do produto</x:v>
      </x:c>
      <x:c r="C4" s="30" t="str">
        <x:v>Novação de Contrato</x:v>
      </x:c>
      <x:c r="D4" s="29" t="str">
        <x:v>Produto Novação de Contrato — Azit Hub V1.0</x:v>
      </x:c>
    </x:row>
    <x:row r="5">
      <x:c r="A5" s="29" t="str">
        <x:v>NV002</x:v>
      </x:c>
      <x:c r="B5" s="29" t="str">
        <x:v>Finalidade</x:v>
      </x:c>
      <x:c r="C5" s="30" t="str">
        <x:v>Reestruturação de obrigação principal e/ou alterações relevantes do contrato</x:v>
      </x:c>
      <x:c r="D5" s="29" t="str">
        <x:v>Evitar retomada quando há viabilidade e permitir mudanças estruturais</x:v>
      </x:c>
    </x:row>
    <x:row r="6">
      <x:c r="A6" s="29" t="str">
        <x:v>NV003</x:v>
      </x:c>
      <x:c r="B6" s="29" t="str">
        <x:v>Modalidade</x:v>
      </x:c>
      <x:c r="C6" s="30" t="str">
        <x:v>Novação objetiva</x:v>
      </x:c>
      <x:c r="D6" s="29" t="str">
        <x:v>Mesmo devedor; multi-credor exige cessão/transferência prévia</x:v>
      </x:c>
    </x:row>
    <x:row r="7">
      <x:c r="A7" s="29" t="str">
        <x:v>NV004</x:v>
      </x:c>
      <x:c r="B7" s="29" t="str">
        <x:v>Alçada mínima</x:v>
      </x:c>
      <x:c r="C7" s="30" t="str">
        <x:v>CONAC</x:v>
      </x:c>
      <x:c r="D7" s="29" t="str">
        <x:v>Obrigatória em 100% das operações</x:v>
      </x:c>
    </x:row>
    <x:row r="8">
      <x:c r="A8" s="29" t="str">
        <x:v>NV005</x:v>
      </x:c>
      <x:c r="B8" s="29" t="str">
        <x:v>Percentual mínimo de entrada</x:v>
      </x:c>
      <x:c r="C8" s="31" t="n">
        <x:v>0.01</x:v>
      </x:c>
      <x:c r="D8" s="29" t="str">
        <x:v>Parametrizável; restrição operacional = máx(entrada de política; TP)</x:v>
      </x:c>
    </x:row>
    <x:row r="9">
      <x:c r="A9" s="29" t="str">
        <x:v>NV006</x:v>
      </x:c>
      <x:c r="B9" s="29" t="str">
        <x:v>Taxa Inicial de Processamento — TP</x:v>
      </x:c>
      <x:c r="C9" s="31" t="n">
        <x:v>0.02</x:v>
      </x:c>
      <x:c r="D9" s="29" t="str">
        <x:v>Parametrizável; calculada sobre o saldo-base</x:v>
      </x:c>
    </x:row>
    <x:row r="10">
      <x:c r="A10" s="29" t="str">
        <x:v>NV007</x:v>
      </x:c>
      <x:c r="B10" s="29" t="str">
        <x:v>TP mínima</x:v>
      </x:c>
      <x:c r="C10" s="32" t="n">
        <x:v>3990</x:v>
      </x:c>
      <x:c r="D10" s="29" t="str">
        <x:v>Parametrizável</x:v>
      </x:c>
    </x:row>
    <x:row r="11">
      <x:c r="A11" s="29" t="str">
        <x:v>NV008</x:v>
      </x:c>
      <x:c r="B11" s="29" t="str">
        <x:v>Beneficiário econômico da TP</x:v>
      </x:c>
      <x:c r="C11" s="30" t="str">
        <x:v>Azit Move</x:v>
      </x:c>
      <x:c r="D11" s="29" t="str">
        <x:v>100% da TP</x:v>
      </x:c>
    </x:row>
    <x:row r="12">
      <x:c r="A12" s="29" t="str">
        <x:v>NV009</x:v>
      </x:c>
      <x:c r="B12" s="29" t="str">
        <x:v>Taxa financeira mensal da Novação</x:v>
      </x:c>
      <x:c r="C12" s="31" t="n">
        <x:v>0.017</x:v>
      </x:c>
      <x:c r="D12" s="29" t="str">
        <x:v>Parametrizável</x:v>
      </x:c>
    </x:row>
    <x:row r="13">
      <x:c r="A13" s="29" t="str">
        <x:v>NV010</x:v>
      </x:c>
      <x:c r="B13" s="29" t="str">
        <x:v>Taxa mensal de desconto para liquidação antecipada</x:v>
      </x:c>
      <x:c r="C13" s="31" t="n">
        <x:v>0.015</x:v>
      </x:c>
      <x:c r="D13" s="29" t="str">
        <x:v>Parametrizável; distinta da taxa financeira</x:v>
      </x:c>
    </x:row>
    <x:row r="14">
      <x:c r="A14" s="29" t="str">
        <x:v>NV011</x:v>
      </x:c>
      <x:c r="B14" s="29" t="str">
        <x:v>Prazo máximo da Novação</x:v>
      </x:c>
      <x:c r="C14" s="33" t="n">
        <x:v>60</x:v>
      </x:c>
      <x:c r="D14" s="29" t="str">
        <x:v>meses</x:v>
      </x:c>
    </x:row>
    <x:row r="15">
      <x:c r="A15" s="29" t="str">
        <x:v>NV012</x:v>
      </x:c>
      <x:c r="B15" s="29" t="str">
        <x:v>Frequências permitidas</x:v>
      </x:c>
      <x:c r="C15" s="30" t="str">
        <x:v>Mensal; Quinzenal; Semanal; Diária</x:v>
      </x:c>
      <x:c r="D15" s="29" t="str">
        <x:v>Pode mudar em relação ao contrato original</x:v>
      </x:c>
    </x:row>
    <x:row r="16">
      <x:c r="A16" s="29" t="str">
        <x:v>NV013</x:v>
      </x:c>
      <x:c r="B16" s="29" t="str">
        <x:v>Comissão recorrente mensal</x:v>
      </x:c>
      <x:c r="C16" s="32" t="n">
        <x:v>799.96</x:v>
      </x:c>
      <x:c r="D16" s="29" t="str">
        <x:v>Parametrizável; valor fixo mensal</x:v>
      </x:c>
    </x:row>
    <x:row r="17">
      <x:c r="A17" s="29" t="str">
        <x:v>NV014</x:v>
      </x:c>
      <x:c r="B17" s="29" t="str">
        <x:v>Beneficiário da Comissão</x:v>
      </x:c>
      <x:c r="C17" s="30" t="str">
        <x:v>Azit Move</x:v>
      </x:c>
      <x:c r="D17" s="29" t="str">
        <x:v>Não integra o principal sujeito a juros</x:v>
      </x:c>
    </x:row>
    <x:row r="18">
      <x:c r="A18" s="29" t="str">
        <x:v>NV015</x:v>
      </x:c>
      <x:c r="B18" s="29" t="str">
        <x:v>Prazo máximo entre assinatura e ativação</x:v>
      </x:c>
      <x:c r="C18" s="33" t="n">
        <x:v>5</x:v>
      </x:c>
      <x:c r="D18" s="29" t="str">
        <x:v>dias</x:v>
      </x:c>
    </x:row>
    <x:row r="19">
      <x:c r="A19" s="29" t="str">
        <x:v>NV016</x:v>
      </x:c>
      <x:c r="B19" s="29" t="str">
        <x:v>Desconto padrão</x:v>
      </x:c>
      <x:c r="C19" s="31" t="n">
        <x:v>0</x:v>
      </x:c>
      <x:c r="D19" s="29" t="str">
        <x:v>Qualquer desconto depende do CONAC</x:v>
      </x:c>
    </x:row>
    <x:row r="20">
      <x:c r="A20" s="29" t="str">
        <x:v>NV017</x:v>
      </x:c>
      <x:c r="B20" s="29" t="str">
        <x:v>Ajuste residual</x:v>
      </x:c>
      <x:c r="C20" s="30" t="str">
        <x:v>Última parcela</x:v>
      </x:c>
      <x:c r="D20" s="29" t="str">
        <x:v>Diferenças de arredondamento</x:v>
      </x:c>
    </x:row>
    <x:row r="21">
      <x:c r="A21" s="29" t="str">
        <x:v>NV018</x:v>
      </x:c>
      <x:c r="B21" s="29" t="str">
        <x:v>Proteção Veicular</x:v>
      </x:c>
      <x:c r="C21" s="30" t="str">
        <x:v>Obrigatória quando exigida pelo ativo/variante</x:v>
      </x:c>
      <x:c r="D21" s="29" t="str">
        <x:v>Novo contrato apartado</x:v>
      </x:c>
    </x:row>
    <x:row r="22">
      <x:c r="A22" s="29" t="str">
        <x:v>NV019</x:v>
      </x:c>
      <x:c r="B22" s="29" t="str">
        <x:v>Atualização monetária</x:v>
      </x:c>
      <x:c r="C22" s="30" t="str">
        <x:v>Conforme política vigente do contrato principal</x:v>
      </x:c>
      <x:c r="D22" s="29" t="str">
        <x:v>Preservar versão dos parâmetros</x:v>
      </x:c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 ht="20" customHeight="1">
      <x:c r="A25" s="34" t="str">
        <x:v>ÍNDICES DE CONVERSÃO, MORA E DATAS</x:v>
      </x:c>
      <x:c r="B25" s="34" t="str">
        <x:v>ÍNDICES DE CONVERSÃO, MORA E DATAS</x:v>
      </x:c>
      <x:c r="C25" s="34" t="str">
        <x:v>ÍNDICES DE CONVERSÃO, MORA E DATAS</x:v>
      </x:c>
      <x:c r="D25" s="34" t="str">
        <x:v>ÍNDICES DE CONVERSÃO, MORA E DATAS</x:v>
      </x:c>
    </x:row>
    <x:row r="26">
      <x:c r="A26" s="14" t="str">
        <x:v>Frequência</x:v>
      </x:c>
      <x:c r="B26" s="14" t="str">
        <x:v>ICVF</x:v>
      </x:c>
      <x:c r="C26" s="14" t="str">
        <x:v>ICPF</x:v>
      </x:c>
      <x:c r="D26" s="14" t="str">
        <x:v>Intervalo / máximo 1º vencimento</x:v>
      </x:c>
    </x:row>
    <x:row r="27">
      <x:c r="A27" s="29" t="str">
        <x:v>Mensal</x:v>
      </x:c>
      <x:c r="B27" s="35" t="n">
        <x:v>1</x:v>
      </x:c>
      <x:c r="C27" s="35" t="n">
        <x:v>1</x:v>
      </x:c>
      <x:c r="D27" s="29" t="str">
        <x:v>30 dias / 59 dias</x:v>
      </x:c>
    </x:row>
    <x:row r="28">
      <x:c r="A28" s="29" t="str">
        <x:v>Quinzenal</x:v>
      </x:c>
      <x:c r="B28" s="35" t="n">
        <x:v>2</x:v>
      </x:c>
      <x:c r="C28" s="35" t="n">
        <x:v>2.1726</x:v>
      </x:c>
      <x:c r="D28" s="29" t="str">
        <x:v>14 dias / 27 dias</x:v>
      </x:c>
    </x:row>
    <x:row r="29">
      <x:c r="A29" s="29" t="str">
        <x:v>Semanal</x:v>
      </x:c>
      <x:c r="B29" s="35" t="n">
        <x:v>4</x:v>
      </x:c>
      <x:c r="C29" s="35" t="n">
        <x:v>4.3452</x:v>
      </x:c>
      <x:c r="D29" s="29" t="str">
        <x:v>7 dias / 13 dias</x:v>
      </x:c>
    </x:row>
    <x:row r="30">
      <x:c r="A30" s="29" t="str">
        <x:v>Diária</x:v>
      </x:c>
      <x:c r="B30" s="35" t="n">
        <x:v>28</x:v>
      </x:c>
      <x:c r="C30" s="35" t="n">
        <x:v>30.4164</x:v>
      </x:c>
      <x:c r="D30" s="29" t="str">
        <x:v>1 dia / 2 dias</x:v>
      </x:c>
    </x:row>
    <x:row r="31">
      <x:c r="A31" s="29"/>
      <x:c r="B31" s="29"/>
      <x:c r="C31" s="29"/>
      <x:c r="D31" s="29"/>
    </x:row>
    <x:row r="32">
      <x:c r="A32" s="14" t="str">
        <x:v>Parâmetro compartilhado</x:v>
      </x:c>
      <x:c r="B32" s="14" t="str">
        <x:v>Valor</x:v>
      </x:c>
      <x:c r="C32" s="14" t="str">
        <x:v>Unidade</x:v>
      </x:c>
      <x:c r="D32" s="14" t="str">
        <x:v>Regra</x:v>
      </x:c>
    </x:row>
    <x:row r="33">
      <x:c r="A33" s="29" t="str">
        <x:v>Base mensal</x:v>
      </x:c>
      <x:c r="B33" s="30" t="n">
        <x:v>30</x:v>
      </x:c>
      <x:c r="C33" s="29" t="str">
        <x:v>dias</x:v>
      </x:c>
      <x:c r="D33" s="29" t="str">
        <x:v>Pró-rata e equivalência financeira</x:v>
      </x:c>
    </x:row>
    <x:row r="34">
      <x:c r="A34" s="29" t="str">
        <x:v>Multa moratória</x:v>
      </x:c>
      <x:c r="B34" s="31" t="n">
        <x:v>0.02</x:v>
      </x:c>
      <x:c r="C34" s="29" t="str">
        <x:v>%</x:v>
      </x:c>
      <x:c r="D34" s="29" t="str">
        <x:v>Aplicada a componentes vencidos</x:v>
      </x:c>
    </x:row>
    <x:row r="35">
      <x:c r="A35" s="29" t="str">
        <x:v>Juros de mora</x:v>
      </x:c>
      <x:c r="B35" s="31" t="n">
        <x:v>0.01</x:v>
      </x:c>
      <x:c r="C35" s="29" t="str">
        <x:v>% a.m.</x:v>
      </x:c>
      <x:c r="D35" s="29" t="str">
        <x:v>Pró-rata pela base de 30 dias</x:v>
      </x:c>
    </x:row>
    <x:row r="36">
      <x:c r="A36" s="29"/>
      <x:c r="B36" s="29"/>
      <x:c r="C36" s="29"/>
      <x:c r="D36" s="29"/>
    </x:row>
    <x:row r="37" ht="20" customHeight="1">
      <x:c r="A37" s="34" t="str">
        <x:v>REGRAS DE CÁLCULO E MODELAGEM</x:v>
      </x:c>
      <x:c r="B37" s="34" t="str">
        <x:v>REGRAS DE CÁLCULO E MODELAGEM</x:v>
      </x:c>
      <x:c r="C37" s="34" t="str">
        <x:v>REGRAS DE CÁLCULO E MODELAGEM</x:v>
      </x:c>
      <x:c r="D37" s="34" t="str">
        <x:v>REGRAS DE CÁLCULO E MODELAGEM</x:v>
      </x:c>
    </x:row>
    <x:row r="38">
      <x:c r="A38" s="14" t="str">
        <x:v>Regra</x:v>
      </x:c>
      <x:c r="B38" s="14" t="str">
        <x:v>Definição</x:v>
      </x:c>
      <x:c r="C38" s="14" t="str">
        <x:v>Aplicação</x:v>
      </x:c>
      <x:c r="D38" s="14" t="str">
        <x:v>Observação</x:v>
      </x:c>
    </x:row>
    <x:row r="39">
      <x:c r="A39" s="29" t="str">
        <x:v>Valor de liquidação vencido</x:v>
      </x:c>
      <x:c r="B39" s="29" t="str">
        <x:v>SA + multa + juros pró-rata</x:v>
      </x:c>
      <x:c r="C39" s="29" t="str">
        <x:v>Origem / Novação</x:v>
      </x:c>
      <x:c r="D39" s="29" t="str">
        <x:v>Usar versão do produto de origem</x:v>
      </x:c>
    </x:row>
    <x:row r="40">
      <x:c r="A40" s="29" t="str">
        <x:v>Valor presente vincendo</x:v>
      </x:c>
      <x:c r="B40" s="29" t="str">
        <x:v>SA / (1 + taxa desconto)^(dias/30)</x:v>
      </x:c>
      <x:c r="C40" s="29" t="str">
        <x:v>Origem / Novação</x:v>
      </x:c>
      <x:c r="D40" s="29" t="str">
        <x:v>Componentes isentos = 0</x:v>
      </x:c>
    </x:row>
    <x:row r="41">
      <x:c r="A41" s="29" t="str">
        <x:v>Saldo-base</x:v>
      </x:c>
      <x:c r="B41" s="29" t="str">
        <x:v>SO + AA</x:v>
      </x:c>
      <x:c r="C41" s="29" t="str">
        <x:v>Simulação</x:v>
      </x:c>
      <x:c r="D41" s="29" t="str">
        <x:v>SO = soma dos VL; AA = ajuste de ativos</x:v>
      </x:c>
    </x:row>
    <x:row r="42">
      <x:c r="A42" s="29" t="str">
        <x:v>Desconto global</x:v>
      </x:c>
      <x:c r="B42" s="29" t="str">
        <x:v>Rateio proporcional entre saldos elegíveis</x:v>
      </x:c>
      <x:c r="C42" s="29" t="str">
        <x:v>Simulação / interentidades</x:v>
      </x:c>
      <x:c r="D42" s="29" t="str">
        <x:v>Não aplica automaticamente sobre AA</x:v>
      </x:c>
    </x:row>
    <x:row r="43">
      <x:c r="A43" s="29" t="str">
        <x:v>TP</x:v>
      </x:c>
      <x:c r="B43" s="29" t="str">
        <x:v>máx(SB × NV006; NV007)</x:v>
      </x:c>
      <x:c r="C43" s="29" t="str">
        <x:v>Simulação / ativação</x:v>
      </x:c>
      <x:c r="D43" s="29" t="str">
        <x:v>Apropriada primeiro dentro do recebimento inicial</x:v>
      </x:c>
    </x:row>
    <x:row r="44">
      <x:c r="A44" s="29" t="str">
        <x:v>Entrada operacional mínima</x:v>
      </x:c>
      <x:c r="B44" s="29" t="str">
        <x:v>máx(SN × NV005; TP)</x:v>
      </x:c>
      <x:c r="C44" s="29" t="str">
        <x:v>Simulação / ativação</x:v>
      </x:c>
      <x:c r="D44" s="29" t="str">
        <x:v>Restrição matemática do modelo</x:v>
      </x:c>
    </x:row>
    <x:row r="45">
      <x:c r="A45" s="29" t="str">
        <x:v>Taxa por frequência</x:v>
      </x:c>
      <x:c r="B45" s="29" t="str">
        <x:v>(1 + NV009)^(IDF/30) − 1</x:v>
      </x:c>
      <x:c r="C45" s="29" t="str">
        <x:v>Simulação / cronograma</x:v>
      </x:c>
      <x:c r="D45" s="29" t="str">
        <x:v>Equivalência financeira</x:v>
      </x:c>
    </x:row>
    <x:row r="46">
      <x:c r="A46" s="29" t="str">
        <x:v>Parcela Price</x:v>
      </x:c>
      <x:c r="B46" s="29" t="str">
        <x:v>SP × [i(1+i)^n]/[(1+i)^n−1]</x:v>
      </x:c>
      <x:c r="C46" s="29" t="str">
        <x:v>Cronograma</x:v>
      </x:c>
      <x:c r="D46" s="29" t="str">
        <x:v>Se i=0, SP/n</x:v>
      </x:c>
    </x:row>
    <x:row r="47">
      <x:c r="A47" s="29" t="str">
        <x:v>Liquidação antecipada</x:v>
      </x:c>
      <x:c r="B47" s="29" t="str">
        <x:v>VP do financeiro vincendo por NV010</x:v>
      </x:c>
      <x:c r="C47" s="29" t="str">
        <x:v>Cobrança / liquidação</x:v>
      </x:c>
      <x:c r="D47" s="29" t="str">
        <x:v>Comissão futura isenta; Proteção futura conforme contrato</x:v>
      </x:c>
    </x:row>
    <x:row r="48">
      <x:c r="A48" s="29"/>
      <x:c r="B48" s="29"/>
      <x:c r="C48" s="29"/>
      <x:c r="D48" s="29"/>
    </x:row>
    <x:row r="49" ht="20" customHeight="1">
      <x:c r="A49" s="34" t="str">
        <x:v>OBSERVAÇÕES E PENDÊNCIAS DE MODELAGEM</x:v>
      </x:c>
      <x:c r="B49" s="34" t="str">
        <x:v>OBSERVAÇÕES E PENDÊNCIAS DE MODELAGEM</x:v>
      </x:c>
      <x:c r="C49" s="34" t="str">
        <x:v>OBSERVAÇÕES E PENDÊNCIAS DE MODELAGEM</x:v>
      </x:c>
      <x:c r="D49" s="34" t="str">
        <x:v>OBSERVAÇÕES E PENDÊNCIAS DE MODELAGEM</x:v>
      </x:c>
    </x:row>
    <x:row r="50">
      <x:c r="A50" s="14" t="str">
        <x:v>Tema</x:v>
      </x:c>
      <x:c r="B50" s="14" t="str">
        <x:v>Tratamento nesta planilha</x:v>
      </x:c>
      <x:c r="C50" s="14" t="str">
        <x:v>Referência</x:v>
      </x:c>
      <x:c r="D50" s="14" t="str">
        <x:v>Nota</x:v>
      </x:c>
    </x:row>
    <x:row r="51">
      <x:c r="A51" s="36" t="str">
        <x:v>Cenário sem entrada</x:v>
      </x:c>
      <x:c r="B51" s="36" t="str">
        <x:v>Recebimento inicial informado manualmente</x:v>
      </x:c>
      <x:c r="C51" s="36" t="str">
        <x:v>PEND-NV-02</x:v>
      </x:c>
      <x:c r="D51" s="36" t="str">
        <x:v>Deve ser ≥ TP e vencer dentro do prazo assinatura→ativação</x:v>
      </x:c>
    </x:row>
    <x:row r="52">
      <x:c r="A52" s="36" t="str">
        <x:v>Desconto sobre ajuste de ativos</x:v>
      </x:c>
      <x:c r="B52" s="36" t="str">
        <x:v>AA não recebe desconto automático</x:v>
      </x:c>
      <x:c r="C52" s="36" t="str">
        <x:v>PEND-NV-03</x:v>
      </x:c>
      <x:c r="D52" s="36" t="str">
        <x:v>Rateio apenas nos saldos elegíveis de origem</x:v>
      </x:c>
    </x:row>
    <x:row r="53">
      <x:c r="A53" s="36" t="str">
        <x:v>Acessórios remanescentes</x:v>
      </x:c>
      <x:c r="B53" s="36" t="str">
        <x:v>Valor periódico informado separadamente</x:v>
      </x:c>
      <x:c r="C53" s="36" t="str">
        <x:v>PEND-NV-04</x:v>
      </x:c>
      <x:c r="D53" s="36" t="str">
        <x:v>Migração de agenda ainda depende de homologação</x:v>
      </x:c>
    </x:row>
    <x:row r="54">
      <x:c r="A54" s="36" t="str">
        <x:v>Proteção &gt; 12 meses</x:v>
      </x:c>
      <x:c r="B54" s="36" t="str">
        <x:v>Usa contribuição periódica vigente</x:v>
      </x:c>
      <x:c r="C54" s="36" t="str">
        <x:v>PEND-NV-05</x:v>
      </x:c>
      <x:c r="D54" s="36" t="str">
        <x:v>Renovação futura depende de definição operacional</x:v>
      </x:c>
    </x:row>
    <x:row r="55">
      <x:c r="A55" s="29" t="str">
        <x:v>Fonte</x:v>
      </x:c>
      <x:c r="B55" s="29" t="str">
        <x:v>Produto Novação de Contrato — Azit Hub V1.0</x:v>
      </x:c>
      <x:c r="C55" s="29" t="str">
        <x:v>26/08/2026</x:v>
      </x:c>
      <x:c r="D55" s="29" t="str">
        <x:v>Planilha para homologação funcional</x:v>
      </x:c>
    </x:row>
  </x:sheetData>
  <x:mergeCells>
    <x:mergeCell ref="A1:D1"/>
    <x:mergeCell ref="A25:D25"/>
    <x:mergeCell ref="A37:D37"/>
    <x:mergeCell ref="A49:D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0" hidden="0" customWidth="1"/>
    <x:col min="5" max="5" width="22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3" hidden="0" customWidth="1"/>
    <x:col min="11" max="11" width="15" hidden="0" customWidth="1"/>
    <x:col min="12" max="12" width="17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</x:cols>
  <x:sheetData>
    <x:row r="1">
      <x:c r="A1" s="28" t="str">
        <x:v>SIMULADOR DE NOVAÇÃO DE CONTRATO — FÓRMULAS E RESULTADOS</x:v>
      </x:c>
      <x:c r="B1" s="28" t="str">
        <x:v>SIMULADOR DE NOVAÇÃO DE CONTRATO — FÓRMULAS E RESULTADOS</x:v>
      </x:c>
      <x:c r="C1" s="28" t="str">
        <x:v>SIMULADOR DE NOVAÇÃO DE CONTRATO — FÓRMULAS E RESULTADOS</x:v>
      </x:c>
      <x:c r="D1" s="28" t="str">
        <x:v>SIMULADOR DE NOVAÇÃO DE CONTRATO — FÓRMULAS E RESULTADOS</x:v>
      </x:c>
      <x:c r="E1" s="28" t="str">
        <x:v>SIMULADOR DE NOVAÇÃO DE CONTRATO — FÓRMULAS E RESULTADOS</x:v>
      </x:c>
      <x:c r="F1" s="28" t="str">
        <x:v>SIMULADOR DE NOVAÇÃO DE CONTRATO — FÓRMULAS E RESULTADOS</x:v>
      </x:c>
      <x:c r="G1" s="28" t="str">
        <x:v>SIMULADOR DE NOVAÇÃO DE CONTRATO — FÓRMULAS E RESULTADOS</x:v>
      </x:c>
      <x:c r="H1" s="28" t="str">
        <x:v>SIMULADOR DE NOVAÇÃO DE CONTRATO — FÓRMULAS E RESULTADOS</x:v>
      </x:c>
      <x:c r="I1" s="28" t="str">
        <x:v>SIMULADOR DE NOVAÇÃO DE CONTRATO — FÓRMULAS E RESULTADOS</x:v>
      </x:c>
      <x:c r="J1" s="28" t="str">
        <x:v>SIMULADOR DE NOVAÇÃO DE CONTRATO — FÓRMULAS E RESULTADOS</x:v>
      </x:c>
      <x:c r="K1" s="28" t="str">
        <x:v>SIMULADOR DE NOVAÇÃO DE CONTRATO — FÓRMULAS E RESULTADOS</x:v>
      </x:c>
      <x:c r="L1" s="28" t="str">
        <x:v>SIMULADOR DE NOVAÇÃO DE CONTRATO — FÓRMULAS E RESULTADOS</x:v>
      </x:c>
      <x:c r="M1" s="28" t="str">
        <x:v>SIMULADOR DE NOVAÇÃO DE CONTRATO — FÓRMULAS E RESULTADOS</x:v>
      </x:c>
      <x:c r="N1" s="28" t="str">
        <x:v>SIMULADOR DE NOVAÇÃO DE CONTRATO — FÓRMULAS E RESULTADOS</x:v>
      </x:c>
      <x:c r="O1" s="28" t="str">
        <x:v>SIMULADOR DE NOVAÇÃO DE CONTRATO — FÓRMULAS E RESULTADOS</x:v>
      </x:c>
      <x:c r="P1" s="28" t="str">
        <x:v>SIMULADOR DE NOVAÇÃO DE CONTRATO — FÓRMULAS E RESULTADOS</x:v>
      </x:c>
      <x:c r="Q1" s="28" t="str">
        <x:v>SIMULADOR DE NOVAÇÃO DE CONTRATO — FÓRMULAS E RESULTADOS</x:v>
      </x:c>
      <x:c r="R1" s="28" t="str">
        <x:v>SIMULADOR DE NOVAÇÃO DE CONTRATO — FÓRMULAS E RESULTADOS</x:v>
      </x:c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3" ht="20" customHeight="1">
      <x:c r="A3" s="34" t="str">
        <x:v>1. INPUTS DA PROPOSTA</x:v>
      </x:c>
      <x:c r="B3" s="34" t="str">
        <x:v>1. INPUTS DA PROPOSTA</x:v>
      </x:c>
      <x:c r="C3" s="34" t="str">
        <x:v>1. INPUTS DA PROPOSTA</x:v>
      </x:c>
      <x:c r="D3" s="34" t="str">
        <x:v>1. INPUTS DA PROPOSTA</x:v>
      </x:c>
      <x:c r="E3" s="34" t="str">
        <x:v>1. INPUTS DA PROPOSTA</x:v>
      </x:c>
      <x:c r="F3" s="34" t="str">
        <x:v>1. INPUTS DA PROPOSTA</x:v>
      </x:c>
      <x:c r="G3" s="34" t="str">
        <x:v>1. INPUTS DA PROPOSTA</x:v>
      </x:c>
      <x:c r="H3" s="34" t="str">
        <x:v>1. INPUTS DA PROPOSTA</x:v>
      </x:c>
      <x:c r="I3" s="34" t="str">
        <x:v>1. INPUTS DA PROPOSTA</x:v>
      </x:c>
      <x:c r="J3" s="34" t="str">
        <x:v>1. INPUTS DA PROPOSTA</x:v>
      </x:c>
      <x:c r="K3" s="34" t="str">
        <x:v>1. INPUTS DA PROPOSTA</x:v>
      </x:c>
      <x:c r="L3" s="34" t="str">
        <x:v>1. INPUTS DA PROPOSTA</x:v>
      </x:c>
      <x:c r="M3" s="34" t="str">
        <x:v>1. INPUTS DA PROPOSTA</x:v>
      </x:c>
      <x:c r="N3" s="34" t="str">
        <x:v>1. INPUTS DA PROPOSTA</x:v>
      </x:c>
      <x:c r="O3" s="34" t="str">
        <x:v>1. INPUTS DA PROPOSTA</x:v>
      </x:c>
      <x:c r="P3" s="34" t="str">
        <x:v>1. INPUTS DA PROPOSTA</x:v>
      </x:c>
      <x:c r="Q3" s="34" t="str">
        <x:v>1. INPUTS DA PROPOSTA</x:v>
      </x:c>
      <x:c r="R3" s="34" t="str">
        <x:v>1. INPUTS DA PROPOSTA</x:v>
      </x:c>
    </x:row>
    <x:row r="4">
      <x:c r="A4" s="14" t="str">
        <x:v>Descrição</x:v>
      </x:c>
      <x:c r="B4" s="14" t="str">
        <x:v>Símbolo</x:v>
      </x:c>
      <x:c r="C4" s="14" t="str">
        <x:v>Valor</x:v>
      </x:c>
      <x:c r="D4" s="14" t="str">
        <x:v>Unidade</x:v>
      </x:c>
      <x:c r="E4" s="14" t="str">
        <x:v>Observação / fonte</x:v>
      </x:c>
      <x:c r="F4" s="29"/>
      <x:c r="G4" s="76" t="str">
        <x:v>RESULTADO DA SIMULAÇÃO</x:v>
      </x:c>
      <x:c r="H4" s="76" t="str">
        <x:v>RESULTADO DA SIMULAÇÃO</x:v>
      </x:c>
      <x:c r="I4" s="76" t="str">
        <x:v>RESULTADO DA SIMULAÇÃO</x:v>
      </x:c>
      <x:c r="J4" s="76" t="str">
        <x:v>RESULTADO DA SIMULAÇÃO</x:v>
      </x:c>
      <x:c r="K4" s="76" t="str">
        <x:v>RESULTADO DA SIMULAÇÃO</x:v>
      </x:c>
      <x:c r="L4" s="76" t="str">
        <x:v>RESULTADO DA SIMULAÇÃO</x:v>
      </x:c>
      <x:c r="M4" s="76" t="str">
        <x:v>RESULTADO DA SIMULAÇÃO</x:v>
      </x:c>
      <x:c r="N4" s="76" t="str">
        <x:v>RESULTADO DA SIMULAÇÃO</x:v>
      </x:c>
      <x:c r="O4" s="76" t="str">
        <x:v>RESULTADO DA SIMULAÇÃO</x:v>
      </x:c>
      <x:c r="P4" s="76" t="str">
        <x:v>RESULTADO DA SIMULAÇÃO</x:v>
      </x:c>
      <x:c r="Q4" s="76" t="str">
        <x:v>RESULTADO DA SIMULAÇÃO</x:v>
      </x:c>
      <x:c r="R4" s="76" t="str">
        <x:v>RESULTADO DA SIMULAÇÃO</x:v>
      </x:c>
    </x:row>
    <x:row r="5">
      <x:c r="A5" s="29" t="str">
        <x:v>Data-base da simulação</x:v>
      </x:c>
      <x:c r="B5" s="29" t="str">
        <x:v>DB</x:v>
      </x:c>
      <x:c r="C5" s="77" t="n">
        <x:v>46260</x:v>
      </x:c>
      <x:c r="D5" s="29" t="str">
        <x:v>data</x:v>
      </x:c>
      <x:c r="E5" s="29" t="str">
        <x:v>Input</x:v>
      </x:c>
      <x:c r="F5" s="29"/>
      <x:c r="G5" s="14" t="str">
        <x:v>Descrição</x:v>
      </x:c>
      <x:c r="H5" s="14" t="str">
        <x:v>Símbolo</x:v>
      </x:c>
      <x:c r="I5" s="14" t="str">
        <x:v>Valor</x:v>
      </x:c>
      <x:c r="J5" s="14" t="str">
        <x:v>Regra</x:v>
      </x:c>
      <x:c r="K5" s="29"/>
      <x:c r="L5" s="29"/>
      <x:c r="M5" s="29"/>
      <x:c r="N5" s="29"/>
      <x:c r="O5" s="29"/>
      <x:c r="P5" s="29"/>
      <x:c r="Q5" s="29"/>
      <x:c r="R5" s="29"/>
    </x:row>
    <x:row r="6">
      <x:c r="A6" s="29" t="str">
        <x:v>Cliente</x:v>
      </x:c>
      <x:c r="B6" s="29" t="str">
        <x:v>CLI</x:v>
      </x:c>
      <x:c r="C6" s="68" t="str">
        <x:v>Cliente Exemplo</x:v>
      </x:c>
      <x:c r="D6" s="29" t="str">
        <x:v>texto</x:v>
      </x:c>
      <x:c r="E6" s="29" t="str">
        <x:v>Input</x:v>
      </x:c>
      <x:c r="F6" s="29"/>
      <x:c r="G6" s="29" t="str">
        <x:v>Saldo consolidado de origem</x:v>
      </x:c>
      <x:c r="H6" s="29" t="str">
        <x:v>SO</x:v>
      </x:c>
      <x:c r="I6" s="78" t="n">
        <x:f>ROUND(SUM($O$33:$O$52),2)</x:f>
        <x:v>7409.66</x:v>
      </x:c>
      <x:c r="J6" s="29" t="str">
        <x:v>Σ valores de liquidação</x:v>
      </x:c>
      <x:c r="K6" s="29"/>
      <x:c r="L6" s="29"/>
      <x:c r="M6" s="29"/>
      <x:c r="N6" s="29"/>
      <x:c r="O6" s="29"/>
      <x:c r="P6" s="29"/>
      <x:c r="Q6" s="29"/>
      <x:c r="R6" s="29"/>
    </x:row>
    <x:row r="7">
      <x:c r="A7" s="29" t="str">
        <x:v>CPF/CNPJ</x:v>
      </x:c>
      <x:c r="B7" s="29" t="str">
        <x:v>DOC</x:v>
      </x:c>
      <x:c r="C7" s="68" t="str">
        <x:v>000.000.000-00</x:v>
      </x:c>
      <x:c r="D7" s="29" t="str">
        <x:v>texto</x:v>
      </x:c>
      <x:c r="E7" s="29" t="str">
        <x:v>Input</x:v>
      </x:c>
      <x:c r="F7" s="29"/>
      <x:c r="G7" s="29" t="str">
        <x:v>Ajuste econômico manual</x:v>
      </x:c>
      <x:c r="H7" s="29" t="str">
        <x:v>AA</x:v>
      </x:c>
      <x:c r="I7" s="78" t="n">
        <x:f>$C$19</x:f>
        <x:v>5000</x:v>
      </x:c>
      <x:c r="J7" s="29" t="str">
        <x:v>Input</x:v>
      </x:c>
      <x:c r="K7" s="29"/>
      <x:c r="L7" s="29"/>
      <x:c r="M7" s="29"/>
      <x:c r="N7" s="29"/>
      <x:c r="O7" s="29"/>
      <x:c r="P7" s="29"/>
      <x:c r="Q7" s="29"/>
      <x:c r="R7" s="29"/>
    </x:row>
    <x:row r="8">
      <x:c r="A8" s="29" t="str">
        <x:v>Nova frequência</x:v>
      </x:c>
      <x:c r="B8" s="29" t="str">
        <x:v>FR</x:v>
      </x:c>
      <x:c r="C8" s="68" t="str">
        <x:v>Semanal</x:v>
      </x:c>
      <x:c r="D8" s="29" t="str">
        <x:v>lista</x:v>
      </x:c>
      <x:c r="E8" s="29" t="str">
        <x:v>Mensal / Quinzenal / Semanal / Diária</x:v>
      </x:c>
      <x:c r="F8" s="29"/>
      <x:c r="G8" s="29" t="str">
        <x:v>Saldo-base</x:v>
      </x:c>
      <x:c r="H8" s="29" t="str">
        <x:v>SB</x:v>
      </x:c>
      <x:c r="I8" s="78" t="n">
        <x:f>ROUND($I$6+$I$7,2)</x:f>
        <x:v>12409.66</x:v>
      </x:c>
      <x:c r="J8" s="29" t="str">
        <x:v>SO + AA</x:v>
      </x:c>
      <x:c r="K8" s="29"/>
      <x:c r="L8" s="29"/>
      <x:c r="M8" s="29"/>
      <x:c r="N8" s="29"/>
      <x:c r="O8" s="29"/>
      <x:c r="P8" s="29"/>
      <x:c r="Q8" s="29"/>
      <x:c r="R8" s="29"/>
    </x:row>
    <x:row r="9">
      <x:c r="A9" s="29" t="str">
        <x:v>Prazo da Novação</x:v>
      </x:c>
      <x:c r="B9" s="29" t="str">
        <x:v>PM</x:v>
      </x:c>
      <x:c r="C9" s="68" t="n">
        <x:v>48</x:v>
      </x:c>
      <x:c r="D9" s="29" t="str">
        <x:v>meses</x:v>
      </x:c>
      <x:c r="E9" s="29" t="str">
        <x:v>≤ NV011</x:v>
      </x:c>
      <x:c r="F9" s="29"/>
      <x:c r="G9" s="29" t="str">
        <x:v>Desconto global</x:v>
      </x:c>
      <x:c r="H9" s="29" t="str">
        <x:v>D</x:v>
      </x:c>
      <x:c r="I9" s="78" t="n">
        <x:f>ROUND(IF($C$14&gt;0,$C$14,SUMIFS($O$33:$O$52,$A$33:$A$52,"Sim",$N$33:$N$52,"Sim")*$C$13),2)</x:f>
        <x:v>148.19</x:v>
      </x:c>
      <x:c r="J9" s="29" t="str">
        <x:v>Rateio nos saldos elegíveis</x:v>
      </x:c>
      <x:c r="K9" s="29"/>
      <x:c r="L9" s="29"/>
      <x:c r="M9" s="29"/>
      <x:c r="N9" s="29"/>
      <x:c r="O9" s="29"/>
      <x:c r="P9" s="29"/>
      <x:c r="Q9" s="29"/>
      <x:c r="R9" s="29"/>
    </x:row>
    <x:row r="10">
      <x:c r="A10" s="29" t="str">
        <x:v>Data prevista de assinatura</x:v>
      </x:c>
      <x:c r="B10" s="29" t="str">
        <x:v>DAS</x:v>
      </x:c>
      <x:c r="C10" s="77" t="n">
        <x:v>46260</x:v>
      </x:c>
      <x:c r="D10" s="29" t="str">
        <x:v>data</x:v>
      </x:c>
      <x:c r="E10" s="29" t="str">
        <x:v>Input</x:v>
      </x:c>
      <x:c r="F10" s="29"/>
      <x:c r="G10" s="29" t="str">
        <x:v>Saldo novado</x:v>
      </x:c>
      <x:c r="H10" s="29" t="str">
        <x:v>SN</x:v>
      </x:c>
      <x:c r="I10" s="78" t="n">
        <x:f>ROUND($I$6-$I$9+$I$7,2)</x:f>
        <x:v>12261.47</x:v>
      </x:c>
      <x:c r="J10" s="29" t="str">
        <x:v>SO − D + AA</x:v>
      </x:c>
      <x:c r="K10" s="29"/>
      <x:c r="L10" s="29"/>
      <x:c r="M10" s="29"/>
      <x:c r="N10" s="29"/>
      <x:c r="O10" s="29"/>
      <x:c r="P10" s="29"/>
      <x:c r="Q10" s="29"/>
      <x:c r="R10" s="29"/>
    </x:row>
    <x:row r="11">
      <x:c r="A11" s="29" t="str">
        <x:v>Data prevista de ativação</x:v>
      </x:c>
      <x:c r="B11" s="29" t="str">
        <x:v>DAT</x:v>
      </x:c>
      <x:c r="C11" s="77" t="n">
        <x:v>46262</x:v>
      </x:c>
      <x:c r="D11" s="29" t="str">
        <x:v>data</x:v>
      </x:c>
      <x:c r="E11" s="29" t="str">
        <x:v>≤ 5 dias após assinatura</x:v>
      </x:c>
      <x:c r="F11" s="29"/>
      <x:c r="G11" s="29" t="str">
        <x:v>Taxa Inicial de Processamento</x:v>
      </x:c>
      <x:c r="H11" s="29" t="str">
        <x:v>TP</x:v>
      </x:c>
      <x:c r="I11" s="78" t="n">
        <x:f>ROUND(MAX($I$8*'Parâmetros'!$C$9,'Parâmetros'!$C$10),2)</x:f>
        <x:v>3990</x:v>
      </x:c>
      <x:c r="J11" s="29" t="str">
        <x:v>máx(SB×NV006; NV007)</x:v>
      </x:c>
      <x:c r="K11" s="29"/>
      <x:c r="L11" s="29"/>
      <x:c r="M11" s="29"/>
      <x:c r="N11" s="29"/>
      <x:c r="O11" s="29"/>
      <x:c r="P11" s="29"/>
      <x:c r="Q11" s="29"/>
      <x:c r="R11" s="29"/>
    </x:row>
    <x:row r="12">
      <x:c r="A12" s="29" t="str">
        <x:v>Primeiro vencimento</x:v>
      </x:c>
      <x:c r="B12" s="29" t="str">
        <x:v>D1</x:v>
      </x:c>
      <x:c r="C12" s="77" t="n">
        <x:v>46269</x:v>
      </x:c>
      <x:c r="D12" s="29" t="str">
        <x:v>data</x:v>
      </x:c>
      <x:c r="E12" s="29" t="str">
        <x:v>Respeitar limite da frequência</x:v>
      </x:c>
      <x:c r="F12" s="29"/>
      <x:c r="G12" s="29" t="str">
        <x:v>Entrada mínima de política</x:v>
      </x:c>
      <x:c r="H12" s="29" t="str">
        <x:v>E_pol</x:v>
      </x:c>
      <x:c r="I12" s="78" t="n">
        <x:f>ROUND($I$10*'Parâmetros'!$C$8,2)</x:f>
        <x:v>122.61</x:v>
      </x:c>
      <x:c r="J12" s="29" t="str">
        <x:v>SN×NV005</x:v>
      </x:c>
      <x:c r="K12" s="29"/>
      <x:c r="L12" s="29"/>
      <x:c r="M12" s="29"/>
      <x:c r="N12" s="29"/>
      <x:c r="O12" s="29"/>
      <x:c r="P12" s="29"/>
      <x:c r="Q12" s="29"/>
      <x:c r="R12" s="29"/>
    </x:row>
    <x:row r="13">
      <x:c r="A13" s="29" t="str">
        <x:v>Desconto percentual</x:v>
      </x:c>
      <x:c r="B13" s="29" t="str">
        <x:v>DESC_PCT</x:v>
      </x:c>
      <x:c r="C13" s="79" t="n">
        <x:v>0.02</x:v>
      </x:c>
      <x:c r="D13" s="29" t="str">
        <x:v>%</x:v>
      </x:c>
      <x:c r="E13" s="29" t="str">
        <x:v>Aplicado aos saldos elegíveis de origem</x:v>
      </x:c>
      <x:c r="F13" s="29"/>
      <x:c r="G13" s="29" t="str">
        <x:v>Recebimento inicial</x:v>
      </x:c>
      <x:c r="H13" s="29" t="str">
        <x:v>E</x:v>
      </x:c>
      <x:c r="I13" s="78" t="n">
        <x:f>ROUND(IF($C$15="Sim",IF($C$17&gt;0,$C$17,$I$10*$C$16),$C$18),2)</x:f>
        <x:v>5000</x:v>
      </x:c>
      <x:c r="J13" s="29" t="str">
        <x:v>Entrada ou recebimento sem entrada</x:v>
      </x:c>
      <x:c r="K13" s="29"/>
      <x:c r="L13" s="29"/>
      <x:c r="M13" s="29"/>
      <x:c r="N13" s="29"/>
      <x:c r="O13" s="29"/>
      <x:c r="P13" s="29"/>
      <x:c r="Q13" s="29"/>
      <x:c r="R13" s="29"/>
    </x:row>
    <x:row r="14">
      <x:c r="A14" s="29" t="str">
        <x:v>Desconto em valor</x:v>
      </x:c>
      <x:c r="B14" s="29" t="str">
        <x:v>DESC_VAL</x:v>
      </x:c>
      <x:c r="C14" s="80" t="n">
        <x:v>0</x:v>
      </x:c>
      <x:c r="D14" s="29" t="str">
        <x:v>R$</x:v>
      </x:c>
      <x:c r="E14" s="29" t="str">
        <x:v>Se &gt; 0, prevalece</x:v>
      </x:c>
      <x:c r="F14" s="29"/>
      <x:c r="G14" s="29" t="str">
        <x:v>Recebimento inicial mínimo operacional</x:v>
      </x:c>
      <x:c r="H14" s="29" t="str">
        <x:v>E_min_op</x:v>
      </x:c>
      <x:c r="I14" s="78" t="n">
        <x:f>MAX($I$12,$I$11)</x:f>
        <x:v>3990</x:v>
      </x:c>
      <x:c r="J14" s="29" t="str">
        <x:v>máx(E_pol; TP)</x:v>
      </x:c>
      <x:c r="K14" s="29"/>
      <x:c r="L14" s="29"/>
      <x:c r="M14" s="29"/>
      <x:c r="N14" s="29"/>
      <x:c r="O14" s="29"/>
      <x:c r="P14" s="29"/>
      <x:c r="Q14" s="29"/>
      <x:c r="R14" s="29"/>
    </x:row>
    <x:row r="15">
      <x:c r="A15" s="29" t="str">
        <x:v>Operação com entrada?</x:v>
      </x:c>
      <x:c r="B15" s="29" t="str">
        <x:v>TEM_ENT</x:v>
      </x:c>
      <x:c r="C15" s="68" t="str">
        <x:v>Sim</x:v>
      </x:c>
      <x:c r="D15" s="29" t="str">
        <x:v>Sim/Não</x:v>
      </x:c>
      <x:c r="E15" s="29" t="str">
        <x:v>Se Não, informe recebimento inicial</x:v>
      </x:c>
      <x:c r="F15" s="29"/>
      <x:c r="G15" s="29" t="str">
        <x:v>Validação do recebimento</x:v>
      </x:c>
      <x:c r="H15" s="29" t="str">
        <x:v>CHECK_E</x:v>
      </x:c>
      <x:c r="I15" s="81" t="str">
        <x:f>IF($I$13&gt;=$I$14,"OK","AJUSTAR")</x:f>
        <x:v>OK</x:v>
      </x:c>
      <x:c r="J15" s="29" t="str">
        <x:v>E ≥ E_min_op</x:v>
      </x:c>
      <x:c r="K15" s="29"/>
      <x:c r="L15" s="29"/>
      <x:c r="M15" s="29"/>
      <x:c r="N15" s="29"/>
      <x:c r="O15" s="29"/>
      <x:c r="P15" s="29"/>
      <x:c r="Q15" s="29"/>
      <x:c r="R15" s="29"/>
    </x:row>
    <x:row r="16">
      <x:c r="A16" s="29" t="str">
        <x:v>Entrada percentual</x:v>
      </x:c>
      <x:c r="B16" s="29" t="str">
        <x:v>ENT_PCT</x:v>
      </x:c>
      <x:c r="C16" s="79" t="n">
        <x:v>0.1</x:v>
      </x:c>
      <x:c r="D16" s="29" t="str">
        <x:v>%</x:v>
      </x:c>
      <x:c r="E16" s="29" t="str">
        <x:v>Se valor = 0</x:v>
      </x:c>
      <x:c r="F16" s="29"/>
      <x:c r="G16" s="29" t="str">
        <x:v>Amortização efetiva inicial</x:v>
      </x:c>
      <x:c r="H16" s="29" t="str">
        <x:v>AE</x:v>
      </x:c>
      <x:c r="I16" s="78" t="n">
        <x:f>ROUND(MAX($I$13-$I$11,0),2)</x:f>
        <x:v>1010</x:v>
      </x:c>
      <x:c r="J16" s="29" t="str">
        <x:v>E − TP</x:v>
      </x:c>
      <x:c r="K16" s="29"/>
      <x:c r="L16" s="29"/>
      <x:c r="M16" s="29"/>
      <x:c r="N16" s="29"/>
      <x:c r="O16" s="29"/>
      <x:c r="P16" s="29"/>
      <x:c r="Q16" s="29"/>
      <x:c r="R16" s="29"/>
    </x:row>
    <x:row r="17">
      <x:c r="A17" s="29" t="str">
        <x:v>Entrada em valor</x:v>
      </x:c>
      <x:c r="B17" s="29" t="str">
        <x:v>ENT_VAL</x:v>
      </x:c>
      <x:c r="C17" s="80" t="n">
        <x:v>5000</x:v>
      </x:c>
      <x:c r="D17" s="29" t="str">
        <x:v>R$</x:v>
      </x:c>
      <x:c r="E17" s="29" t="str">
        <x:v>Se &gt; 0, prevalece</x:v>
      </x:c>
      <x:c r="F17" s="29"/>
      <x:c r="G17" s="29" t="str">
        <x:v>Saldo principal a parcelar</x:v>
      </x:c>
      <x:c r="H17" s="29" t="str">
        <x:v>SP</x:v>
      </x:c>
      <x:c r="I17" s="78" t="n">
        <x:f>ROUND($I$10-$I$16,2)</x:f>
        <x:v>11251.47</x:v>
      </x:c>
      <x:c r="J17" s="29" t="str">
        <x:v>SN − AE</x:v>
      </x:c>
      <x:c r="K17" s="29"/>
      <x:c r="L17" s="29"/>
      <x:c r="M17" s="29"/>
      <x:c r="N17" s="29"/>
      <x:c r="O17" s="29"/>
      <x:c r="P17" s="29"/>
      <x:c r="Q17" s="29"/>
      <x:c r="R17" s="29"/>
    </x:row>
    <x:row r="18">
      <x:c r="A18" s="29" t="str">
        <x:v>Recebimento inicial sem entrada</x:v>
      </x:c>
      <x:c r="B18" s="29" t="str">
        <x:v>E_SEM</x:v>
      </x:c>
      <x:c r="C18" s="80" t="n">
        <x:v>0</x:v>
      </x:c>
      <x:c r="D18" s="29" t="str">
        <x:v>R$</x:v>
      </x:c>
      <x:c r="E18" s="29" t="str">
        <x:v>PEND-NV-02</x:v>
      </x:c>
      <x:c r="F18" s="29"/>
      <x:c r="G18" s="29" t="str">
        <x:v>Taxa equivalente da frequência</x:v>
      </x:c>
      <x:c r="H18" s="29" t="str">
        <x:v>i_f</x:v>
      </x:c>
      <x:c r="I18" s="82" t="n">
        <x:f>ROUND((1+'Parâmetros'!$C$12)^((IF($C$8="Mensal",30,IF($C$8="Quinzenal",14,IF($C$8="Semanal",7,1))))/30)-1,10)</x:f>
        <x:v>0.003941073</x:v>
      </x:c>
      <x:c r="J18" s="29" t="str">
        <x:v>Equivalência financeira</x:v>
      </x:c>
      <x:c r="K18" s="29"/>
      <x:c r="L18" s="29"/>
      <x:c r="M18" s="29"/>
      <x:c r="N18" s="29"/>
      <x:c r="O18" s="29"/>
      <x:c r="P18" s="29"/>
      <x:c r="Q18" s="29"/>
      <x:c r="R18" s="29"/>
    </x:row>
    <x:row r="19">
      <x:c r="A19" s="29" t="str">
        <x:v>Ajuste econômico manual de ativos</x:v>
      </x:c>
      <x:c r="B19" s="29" t="str">
        <x:v>AA</x:v>
      </x:c>
      <x:c r="C19" s="80" t="n">
        <x:v>5000</x:v>
      </x:c>
      <x:c r="D19" s="29" t="str">
        <x:v>R$</x:v>
      </x:c>
      <x:c r="E19" s="29" t="str">
        <x:v>Memória no parecer</x:v>
      </x:c>
      <x:c r="F19" s="29"/>
      <x:c r="G19" s="29" t="str">
        <x:v>Quantidade de parcelas</x:v>
      </x:c>
      <x:c r="H19" s="29" t="str">
        <x:v>n</x:v>
      </x:c>
      <x:c r="I19" s="83" t="n">
        <x:f>MIN(ROUND($C$9*(IF($C$8="Mensal",1,IF($C$8="Quinzenal",2.1726,IF($C$8="Semanal",4.3452,30.4164)))),0),ROUND('Parâmetros'!$C$14*(IF($C$8="Mensal",1,IF($C$8="Quinzenal",2.1726,IF($C$8="Semanal",4.3452,30.4164)))),0))</x:f>
        <x:v>209</x:v>
      </x:c>
      <x:c r="J19" s="29" t="str">
        <x:v>prazo × ICPF</x:v>
      </x:c>
      <x:c r="K19" s="29"/>
      <x:c r="L19" s="29"/>
      <x:c r="M19" s="29"/>
      <x:c r="N19" s="29"/>
      <x:c r="O19" s="29"/>
      <x:c r="P19" s="29"/>
      <x:c r="Q19" s="29"/>
      <x:c r="R19" s="29"/>
    </x:row>
    <x:row r="20">
      <x:c r="A20" s="29" t="str">
        <x:v>Acessórios remanescentes por período</x:v>
      </x:c>
      <x:c r="B20" s="29" t="str">
        <x:v>ACC</x:v>
      </x:c>
      <x:c r="C20" s="80" t="n">
        <x:v>0</x:v>
      </x:c>
      <x:c r="D20" s="29" t="str">
        <x:v>R$</x:v>
      </x:c>
      <x:c r="E20" s="29" t="str">
        <x:v>PEND-NV-04</x:v>
      </x:c>
      <x:c r="F20" s="29"/>
      <x:c r="G20" s="29" t="str">
        <x:v>Parcela financeira padrão</x:v>
      </x:c>
      <x:c r="H20" s="29" t="str">
        <x:v>PFC</x:v>
      </x:c>
      <x:c r="I20" s="78" t="n">
        <x:f>ROUND(IF($I$18=0,$I$17/$I$19,$I$17*($I$18*(1+$I$18)^$I$19)/((1+$I$18)^$I$19-1)),2)</x:f>
        <x:v>79.12</x:v>
      </x:c>
      <x:c r="J20" s="29" t="str">
        <x:v>Sistema Price</x:v>
      </x:c>
      <x:c r="K20" s="29"/>
      <x:c r="L20" s="29"/>
      <x:c r="M20" s="29"/>
      <x:c r="N20" s="29"/>
      <x:c r="O20" s="29"/>
      <x:c r="P20" s="29"/>
      <x:c r="Q20" s="29"/>
      <x:c r="R20" s="29"/>
    </x:row>
    <x:row r="21">
      <x:c r="A21" s="29"/>
      <x:c r="B21" s="29"/>
      <x:c r="C21" s="29"/>
      <x:c r="D21" s="29"/>
      <x:c r="E21" s="29"/>
      <x:c r="F21" s="29"/>
      <x:c r="G21" s="29" t="str">
        <x:v>Última parcela financeira</x:v>
      </x:c>
      <x:c r="H21" s="29" t="str">
        <x:v>ULT</x:v>
      </x:c>
      <x:c r="I21" s="78" t="n">
        <x:f>ROUND(IF($I$19&lt;=1,$I$17*(1+$I$18),IF($I$18=0,$I$17-$I$20*($I$19-1),($I$17*(1+$I$18)^($I$19-1)-$I$20*(((1+$I$18)^($I$19-1)-1)/$I$18))*(1+$I$18))),2)</x:f>
        <x:v>77.92</x:v>
      </x:c>
      <x:c r="J21" s="29" t="str">
        <x:v>Ajuste residual</x:v>
      </x:c>
      <x:c r="K21" s="29"/>
      <x:c r="L21" s="29"/>
      <x:c r="M21" s="29"/>
      <x:c r="N21" s="29"/>
      <x:c r="O21" s="29"/>
      <x:c r="P21" s="29"/>
      <x:c r="Q21" s="29"/>
      <x:c r="R21" s="29"/>
    </x:row>
    <x:row r="22">
      <x:c r="A22" s="29"/>
      <x:c r="B22" s="29"/>
      <x:c r="C22" s="29"/>
      <x:c r="D22" s="29"/>
      <x:c r="E22" s="29"/>
      <x:c r="F22" s="29"/>
      <x:c r="G22" s="29" t="str">
        <x:v>Comissão por frequência</x:v>
      </x:c>
      <x:c r="H22" s="29" t="str">
        <x:v>COM_f</x:v>
      </x:c>
      <x:c r="I22" s="78" t="n">
        <x:f>ROUND('Parâmetros'!$C$16/(IF($C$8="Mensal",1,IF($C$8="Quinzenal",2,IF($C$8="Semanal",4,28)))),2)</x:f>
        <x:v>199.99</x:v>
      </x:c>
      <x:c r="J22" s="29" t="str">
        <x:v>NV013 / ICVF</x:v>
      </x:c>
      <x:c r="K22" s="29"/>
      <x:c r="L22" s="29"/>
      <x:c r="M22" s="29"/>
      <x:c r="N22" s="29"/>
      <x:c r="O22" s="29"/>
      <x:c r="P22" s="29"/>
      <x:c r="Q22" s="29"/>
      <x:c r="R22" s="29"/>
    </x:row>
    <x:row r="23">
      <x:c r="A23" s="29"/>
      <x:c r="B23" s="29"/>
      <x:c r="C23" s="29"/>
      <x:c r="D23" s="29"/>
      <x:c r="E23" s="29"/>
      <x:c r="F23" s="29"/>
      <x:c r="G23" s="29" t="str">
        <x:v>Proteção por frequência</x:v>
      </x:c>
      <x:c r="H23" s="29" t="str">
        <x:v>PRV_f</x:v>
      </x:c>
      <x:c r="I23" s="78" t="n">
        <x:f>ROUND(SUM($N$57:$N$64),2)</x:f>
        <x:v>187.5</x:v>
      </x:c>
      <x:c r="J23" s="29" t="str">
        <x:v>Σ nova Proteção</x:v>
      </x:c>
      <x:c r="K23" s="29"/>
      <x:c r="L23" s="29"/>
      <x:c r="M23" s="29"/>
      <x:c r="N23" s="29"/>
      <x:c r="O23" s="29"/>
      <x:c r="P23" s="29"/>
      <x:c r="Q23" s="29"/>
      <x:c r="R23" s="29"/>
    </x:row>
    <x:row r="24">
      <x:c r="A24" s="29"/>
      <x:c r="B24" s="29"/>
      <x:c r="C24" s="29"/>
      <x:c r="D24" s="29"/>
      <x:c r="E24" s="29"/>
      <x:c r="F24" s="29"/>
      <x:c r="G24" s="29" t="str">
        <x:v>Acessórios por frequência</x:v>
      </x:c>
      <x:c r="H24" s="29" t="str">
        <x:v>ACC</x:v>
      </x:c>
      <x:c r="I24" s="78" t="n">
        <x:f>$C$20</x:f>
        <x:v>0</x:v>
      </x:c>
      <x:c r="J24" s="29" t="str">
        <x:v>Input</x:v>
      </x:c>
      <x:c r="K24" s="29"/>
      <x:c r="L24" s="29"/>
      <x:c r="M24" s="29"/>
      <x:c r="N24" s="29"/>
      <x:c r="O24" s="29"/>
      <x:c r="P24" s="29"/>
      <x:c r="Q24" s="29"/>
      <x:c r="R24" s="29"/>
    </x:row>
    <x:row r="25">
      <x:c r="A25" s="29"/>
      <x:c r="B25" s="29"/>
      <x:c r="C25" s="29"/>
      <x:c r="D25" s="29"/>
      <x:c r="E25" s="29"/>
      <x:c r="F25" s="29"/>
      <x:c r="G25" s="29" t="str">
        <x:v>Fatura total estimada</x:v>
      </x:c>
      <x:c r="H25" s="29" t="str">
        <x:v>FAT</x:v>
      </x:c>
      <x:c r="I25" s="78" t="n">
        <x:f>ROUND($I$20+$I$22+$I$23+$I$24,2)</x:f>
        <x:v>466.61</x:v>
      </x:c>
      <x:c r="J25" s="29" t="str">
        <x:v>Financeiro + itens</x:v>
      </x:c>
      <x:c r="K25" s="29"/>
      <x:c r="L25" s="29"/>
      <x:c r="M25" s="29"/>
      <x:c r="N25" s="29"/>
      <x:c r="O25" s="29"/>
      <x:c r="P25" s="29"/>
      <x:c r="Q25" s="29"/>
      <x:c r="R25" s="29"/>
    </x:row>
    <x:row r="26">
      <x:c r="A26" s="29"/>
      <x:c r="B26" s="29"/>
      <x:c r="C26" s="29"/>
      <x:c r="D26" s="29"/>
      <x:c r="E26" s="29"/>
      <x:c r="F26" s="29"/>
      <x:c r="G26" s="29" t="str">
        <x:v>Variação de exposição</x:v>
      </x:c>
      <x:c r="H26" s="29" t="str">
        <x:v>EXP</x:v>
      </x:c>
      <x:c r="I26" s="78" t="n">
        <x:f>ROUND($I$10-$I$6,2)</x:f>
        <x:v>4851.81</x:v>
      </x:c>
      <x:c r="J26" s="29" t="str">
        <x:v>SN − SO</x:v>
      </x:c>
      <x:c r="K26" s="29"/>
      <x:c r="L26" s="29"/>
      <x:c r="M26" s="29"/>
      <x:c r="N26" s="29"/>
      <x:c r="O26" s="29"/>
      <x:c r="P26" s="29"/>
      <x:c r="Q26" s="29"/>
      <x:c r="R26" s="29"/>
    </x:row>
    <x:row r="27">
      <x:c r="A27" s="29"/>
      <x:c r="B27" s="29"/>
      <x:c r="C27" s="29"/>
      <x:c r="D27" s="29"/>
      <x:c r="E27" s="29"/>
      <x:c r="F27" s="29"/>
      <x:c r="G27" s="29" t="str">
        <x:v>Tratamento de crédito</x:v>
      </x:c>
      <x:c r="H27" s="29" t="str">
        <x:v>CRED</x:v>
      </x:c>
      <x:c r="I27" s="81" t="str">
        <x:f>IF($I$26&gt;0,"ANÁLISE DE CRÉDITO + CONAC","CONAC")</x:f>
        <x:v>ANÁLISE DE CRÉDITO + CONAC</x:v>
      </x:c>
      <x:c r="J27" s="29" t="str">
        <x:v>Se aumento: crédito + CONAC</x:v>
      </x:c>
      <x:c r="K27" s="29"/>
      <x:c r="L27" s="29"/>
      <x:c r="M27" s="29"/>
      <x:c r="N27" s="29"/>
      <x:c r="O27" s="29"/>
      <x:c r="P27" s="29"/>
      <x:c r="Q27" s="29"/>
      <x:c r="R27" s="29"/>
    </x:row>
    <x:row r="28">
      <x:c r="A28" s="29"/>
      <x:c r="B28" s="29"/>
      <x:c r="C28" s="29"/>
      <x:c r="D28" s="29"/>
      <x:c r="E28" s="29"/>
      <x:c r="F28" s="29"/>
      <x:c r="G28" s="29" t="str">
        <x:v>Novo credor</x:v>
      </x:c>
      <x:c r="H28" s="29" t="str">
        <x:v>NCRED</x:v>
      </x:c>
      <x:c r="I28" s="81" t="str">
        <x:f>IFERROR(INDEX($C$57:$C$64,MATCH("Sim",$D$57:$D$64,0)),"")</x:f>
        <x:v>Investidor Alfa</x:v>
      </x:c>
      <x:c r="J28" s="29" t="str">
        <x:v>Proprietário do ativo principal</x:v>
      </x:c>
      <x:c r="K28" s="29"/>
      <x:c r="L28" s="29"/>
      <x:c r="M28" s="29"/>
      <x:c r="N28" s="29"/>
      <x:c r="O28" s="29"/>
      <x:c r="P28" s="29"/>
      <x:c r="Q28" s="29"/>
      <x:c r="R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20" customHeight="1">
      <x:c r="A31" s="34" t="str">
        <x:v>2. CONTRATOS / COMPONENTES DE ORIGEM — MEMÓRIA DE LIQUIDAÇÃO</x:v>
      </x:c>
      <x:c r="B31" s="34" t="str">
        <x:v>2. CONTRATOS / COMPONENTES DE ORIGEM — MEMÓRIA DE LIQUIDAÇÃO</x:v>
      </x:c>
      <x:c r="C31" s="34" t="str">
        <x:v>2. CONTRATOS / COMPONENTES DE ORIGEM — MEMÓRIA DE LIQUIDAÇÃO</x:v>
      </x:c>
      <x:c r="D31" s="34" t="str">
        <x:v>2. CONTRATOS / COMPONENTES DE ORIGEM — MEMÓRIA DE LIQUIDAÇÃO</x:v>
      </x:c>
      <x:c r="E31" s="34" t="str">
        <x:v>2. CONTRATOS / COMPONENTES DE ORIGEM — MEMÓRIA DE LIQUIDAÇÃO</x:v>
      </x:c>
      <x:c r="F31" s="34" t="str">
        <x:v>2. CONTRATOS / COMPONENTES DE ORIGEM — MEMÓRIA DE LIQUIDAÇÃO</x:v>
      </x:c>
      <x:c r="G31" s="34" t="str">
        <x:v>2. CONTRATOS / COMPONENTES DE ORIGEM — MEMÓRIA DE LIQUIDAÇÃO</x:v>
      </x:c>
      <x:c r="H31" s="34" t="str">
        <x:v>2. CONTRATOS / COMPONENTES DE ORIGEM — MEMÓRIA DE LIQUIDAÇÃO</x:v>
      </x:c>
      <x:c r="I31" s="34" t="str">
        <x:v>2. CONTRATOS / COMPONENTES DE ORIGEM — MEMÓRIA DE LIQUIDAÇÃO</x:v>
      </x:c>
      <x:c r="J31" s="34" t="str">
        <x:v>2. CONTRATOS / COMPONENTES DE ORIGEM — MEMÓRIA DE LIQUIDAÇÃO</x:v>
      </x:c>
      <x:c r="K31" s="34" t="str">
        <x:v>2. CONTRATOS / COMPONENTES DE ORIGEM — MEMÓRIA DE LIQUIDAÇÃO</x:v>
      </x:c>
      <x:c r="L31" s="34" t="str">
        <x:v>2. CONTRATOS / COMPONENTES DE ORIGEM — MEMÓRIA DE LIQUIDAÇÃO</x:v>
      </x:c>
      <x:c r="M31" s="34" t="str">
        <x:v>2. CONTRATOS / COMPONENTES DE ORIGEM — MEMÓRIA DE LIQUIDAÇÃO</x:v>
      </x:c>
      <x:c r="N31" s="34" t="str">
        <x:v>2. CONTRATOS / COMPONENTES DE ORIGEM — MEMÓRIA DE LIQUIDAÇÃO</x:v>
      </x:c>
      <x:c r="O31" s="34" t="str">
        <x:v>2. CONTRATOS / COMPONENTES DE ORIGEM — MEMÓRIA DE LIQUIDAÇÃO</x:v>
      </x:c>
      <x:c r="P31" s="34" t="str">
        <x:v>2. CONTRATOS / COMPONENTES DE ORIGEM — MEMÓRIA DE LIQUIDAÇÃO</x:v>
      </x:c>
      <x:c r="Q31" s="34" t="str">
        <x:v>2. CONTRATOS / COMPONENTES DE ORIGEM — MEMÓRIA DE LIQUIDAÇÃO</x:v>
      </x:c>
      <x:c r="R31" s="34" t="str">
        <x:v>2. CONTRATOS / COMPONENTES DE ORIGEM — MEMÓRIA DE LIQUIDAÇÃO</x:v>
      </x:c>
    </x:row>
    <x:row r="32">
      <x:c r="A32" s="14" t="str">
        <x:v>Incluir?</x:v>
      </x:c>
      <x:c r="B32" s="14" t="str">
        <x:v>Produto</x:v>
      </x:c>
      <x:c r="C32" s="14" t="str">
        <x:v>Contrato</x:v>
      </x:c>
      <x:c r="D32" s="14" t="str">
        <x:v>Entidade credora</x:v>
      </x:c>
      <x:c r="E32" s="14" t="str">
        <x:v>Componente</x:v>
      </x:c>
      <x:c r="F32" s="14" t="str">
        <x:v>Situação</x:v>
      </x:c>
      <x:c r="G32" s="14" t="str">
        <x:v>Vencimento</x:v>
      </x:c>
      <x:c r="H32" s="14" t="str">
        <x:v>Saldo em aberto</x:v>
      </x:c>
      <x:c r="I32" s="14" t="str">
        <x:v>Dias atraso</x:v>
      </x:c>
      <x:c r="J32" s="14" t="str">
        <x:v>Multa</x:v>
      </x:c>
      <x:c r="K32" s="14" t="str">
        <x:v>Juros mora a.m.</x:v>
      </x:c>
      <x:c r="L32" s="14" t="str">
        <x:v>Taxa desconto origem a.m.</x:v>
      </x:c>
      <x:c r="M32" s="14" t="str">
        <x:v>Vincendo isento?</x:v>
      </x:c>
      <x:c r="N32" s="14" t="str">
        <x:v>Elegível desconto?</x:v>
      </x:c>
      <x:c r="O32" s="14" t="str">
        <x:v>VL liquidação</x:v>
      </x:c>
      <x:c r="P32" s="14" t="str">
        <x:v>Desconto rateado</x:v>
      </x:c>
      <x:c r="Q32" s="14" t="str">
        <x:v>Valor líquido origem</x:v>
      </x:c>
      <x:c r="R32" s="14" t="str">
        <x:v>Liquidação interentidades</x:v>
      </x:c>
    </x:row>
    <x:row r="33">
      <x:c r="A33" s="68" t="str">
        <x:v>Sim</x:v>
      </x:c>
      <x:c r="B33" s="68" t="str">
        <x:v>Compra Parcelada</x:v>
      </x:c>
      <x:c r="C33" s="68" t="str">
        <x:v>CP-001</x:v>
      </x:c>
      <x:c r="D33" s="68" t="str">
        <x:v>Investidor Alfa</x:v>
      </x:c>
      <x:c r="E33" s="68" t="str">
        <x:v>Parcela do bem</x:v>
      </x:c>
      <x:c r="F33" s="68" t="str">
        <x:v>Vencida</x:v>
      </x:c>
      <x:c r="G33" s="77" t="n">
        <x:v>46244</x:v>
      </x:c>
      <x:c r="H33" s="80" t="n">
        <x:v>2500</x:v>
      </x:c>
      <x:c r="I33" s="84" t="n">
        <x:f>IF(AND(A33="Sim",F33="Vencida",G33&lt;&gt;""),MAX($C$5-G33,0),0)</x:f>
        <x:v>16</x:v>
      </x:c>
      <x:c r="J33" s="79" t="n">
        <x:v>0.02</x:v>
      </x:c>
      <x:c r="K33" s="79" t="n">
        <x:v>0.01</x:v>
      </x:c>
      <x:c r="L33" s="79" t="n">
        <x:v>0.016</x:v>
      </x:c>
      <x:c r="M33" s="68" t="str">
        <x:v>Não</x:v>
      </x:c>
      <x:c r="N33" s="68" t="str">
        <x:v>Sim</x:v>
      </x:c>
      <x:c r="O33" s="85" t="n">
        <x:f>IF(A33&lt;&gt;"Sim",0,IF(F33="Vencida",ROUND(H33+H33*J33+H33*K33*I33/30,2),IF(M33="Sim",0,IF(G33="",0,ROUND(H33/(1+L33)^((G33-$C$5)/30),2)))))</x:f>
        <x:v>2563.33</x:v>
      </x:c>
      <x:c r="P33" s="85" t="n">
        <x:f>IF(AND(A33="Sim",N33="Sim",O33&gt;0),IFERROR(ROUND($I$9*O33/SUMIFS($O$33:$O$52,$A$33:$A$52,"Sim",$N$33:$N$52,"Sim"),2),0),0)</x:f>
        <x:v>51.27</x:v>
      </x:c>
      <x:c r="Q33" s="85" t="n">
        <x:f>IF(A33&lt;&gt;"Sim",0,ROUND(O33-P33,2))</x:f>
        <x:v>2512.06</x:v>
      </x:c>
      <x:c r="R33" s="85" t="n">
        <x:f>IF(OR(A33&lt;&gt;"Sim",D33="",$I$28=""),0,IF(D33&lt;&gt;$I$28,Q33,0))</x:f>
        <x:v>0</x:v>
      </x:c>
    </x:row>
    <x:row r="34">
      <x:c r="A34" s="68" t="str">
        <x:v>Sim</x:v>
      </x:c>
      <x:c r="B34" s="68" t="str">
        <x:v>Compra Parcelada</x:v>
      </x:c>
      <x:c r="C34" s="68" t="str">
        <x:v>CP-001</x:v>
      </x:c>
      <x:c r="D34" s="68" t="str">
        <x:v>Investidor Alfa</x:v>
      </x:c>
      <x:c r="E34" s="68" t="str">
        <x:v>Parcela do bem</x:v>
      </x:c>
      <x:c r="F34" s="68" t="str">
        <x:v>Vincenda</x:v>
      </x:c>
      <x:c r="G34" s="77" t="n">
        <x:v>46275</x:v>
      </x:c>
      <x:c r="H34" s="80" t="n">
        <x:v>2500</x:v>
      </x:c>
      <x:c r="I34" s="84" t="n">
        <x:f>IF(AND(A34="Sim",F34="Vencida",G34&lt;&gt;""),MAX($C$5-G34,0),0)</x:f>
        <x:v>0</x:v>
      </x:c>
      <x:c r="J34" s="79" t="n">
        <x:v>0.02</x:v>
      </x:c>
      <x:c r="K34" s="79" t="n">
        <x:v>0.01</x:v>
      </x:c>
      <x:c r="L34" s="79" t="n">
        <x:v>0.016</x:v>
      </x:c>
      <x:c r="M34" s="68" t="str">
        <x:v>Não</x:v>
      </x:c>
      <x:c r="N34" s="68" t="str">
        <x:v>Sim</x:v>
      </x:c>
      <x:c r="O34" s="85" t="n">
        <x:f>IF(A34&lt;&gt;"Sim",0,IF(F34="Vencida",ROUND(H34+H34*J34+H34*K34*I34/30,2),IF(M34="Sim",0,IF(G34="",0,ROUND(H34/(1+L34)^((G34-$C$5)/30),2)))))</x:f>
        <x:v>2480.24</x:v>
      </x:c>
      <x:c r="P34" s="85" t="n">
        <x:f>IF(AND(A34="Sim",N34="Sim",O34&gt;0),IFERROR(ROUND($I$9*O34/SUMIFS($O$33:$O$52,$A$33:$A$52,"Sim",$N$33:$N$52,"Sim"),2),0),0)</x:f>
        <x:v>49.6</x:v>
      </x:c>
      <x:c r="Q34" s="85" t="n">
        <x:f>IF(A34&lt;&gt;"Sim",0,ROUND(O34-P34,2))</x:f>
        <x:v>2430.64</x:v>
      </x:c>
      <x:c r="R34" s="85" t="n">
        <x:f>IF(OR(A34&lt;&gt;"Sim",D34="",$I$28=""),0,IF(D34&lt;&gt;$I$28,Q34,0))</x:f>
        <x:v>0</x:v>
      </x:c>
    </x:row>
    <x:row r="35">
      <x:c r="A35" s="68" t="str">
        <x:v>Sim</x:v>
      </x:c>
      <x:c r="B35" s="68" t="str">
        <x:v>Compra Parcelada</x:v>
      </x:c>
      <x:c r="C35" s="68" t="str">
        <x:v>CP-001</x:v>
      </x:c>
      <x:c r="D35" s="68" t="str">
        <x:v>Investidor Alfa</x:v>
      </x:c>
      <x:c r="E35" s="68" t="str">
        <x:v>Comissão</x:v>
      </x:c>
      <x:c r="F35" s="68" t="str">
        <x:v>Vencida</x:v>
      </x:c>
      <x:c r="G35" s="77" t="n">
        <x:v>46244</x:v>
      </x:c>
      <x:c r="H35" s="80" t="n">
        <x:v>200</x:v>
      </x:c>
      <x:c r="I35" s="84" t="n">
        <x:f>IF(AND(A35="Sim",F35="Vencida",G35&lt;&gt;""),MAX($C$5-G35,0),0)</x:f>
        <x:v>16</x:v>
      </x:c>
      <x:c r="J35" s="79" t="n">
        <x:v>0.02</x:v>
      </x:c>
      <x:c r="K35" s="79" t="n">
        <x:v>0.01</x:v>
      </x:c>
      <x:c r="L35" s="79" t="n">
        <x:v>0</x:v>
      </x:c>
      <x:c r="M35" s="68" t="str">
        <x:v>Não</x:v>
      </x:c>
      <x:c r="N35" s="68" t="str">
        <x:v>Sim</x:v>
      </x:c>
      <x:c r="O35" s="85" t="n">
        <x:f>IF(A35&lt;&gt;"Sim",0,IF(F35="Vencida",ROUND(H35+H35*J35+H35*K35*I35/30,2),IF(M35="Sim",0,IF(G35="",0,ROUND(H35/(1+L35)^((G35-$C$5)/30),2)))))</x:f>
        <x:v>205.07</x:v>
      </x:c>
      <x:c r="P35" s="85" t="n">
        <x:f>IF(AND(A35="Sim",N35="Sim",O35&gt;0),IFERROR(ROUND($I$9*O35/SUMIFS($O$33:$O$52,$A$33:$A$52,"Sim",$N$33:$N$52,"Sim"),2),0),0)</x:f>
        <x:v>4.1</x:v>
      </x:c>
      <x:c r="Q35" s="85" t="n">
        <x:f>IF(A35&lt;&gt;"Sim",0,ROUND(O35-P35,2))</x:f>
        <x:v>200.97</x:v>
      </x:c>
      <x:c r="R35" s="85" t="n">
        <x:f>IF(OR(A35&lt;&gt;"Sim",D35="",$I$28=""),0,IF(D35&lt;&gt;$I$28,Q35,0))</x:f>
        <x:v>0</x:v>
      </x:c>
    </x:row>
    <x:row r="36">
      <x:c r="A36" s="68" t="str">
        <x:v>Sim</x:v>
      </x:c>
      <x:c r="B36" s="68" t="str">
        <x:v>Compra Parcelada</x:v>
      </x:c>
      <x:c r="C36" s="68" t="str">
        <x:v>CP-001</x:v>
      </x:c>
      <x:c r="D36" s="68" t="str">
        <x:v>Investidor Alfa</x:v>
      </x:c>
      <x:c r="E36" s="68" t="str">
        <x:v>Comissão</x:v>
      </x:c>
      <x:c r="F36" s="68" t="str">
        <x:v>Vincenda</x:v>
      </x:c>
      <x:c r="G36" s="77" t="n">
        <x:v>46275</x:v>
      </x:c>
      <x:c r="H36" s="80" t="n">
        <x:v>200</x:v>
      </x:c>
      <x:c r="I36" s="84" t="n">
        <x:f>IF(AND(A36="Sim",F36="Vencida",G36&lt;&gt;""),MAX($C$5-G36,0),0)</x:f>
        <x:v>0</x:v>
      </x:c>
      <x:c r="J36" s="79" t="n">
        <x:v>0.02</x:v>
      </x:c>
      <x:c r="K36" s="79" t="n">
        <x:v>0.01</x:v>
      </x:c>
      <x:c r="L36" s="79" t="n">
        <x:v>0</x:v>
      </x:c>
      <x:c r="M36" s="68" t="str">
        <x:v>Sim</x:v>
      </x:c>
      <x:c r="N36" s="68" t="str">
        <x:v>Não</x:v>
      </x:c>
      <x:c r="O36" s="85" t="n">
        <x:f>IF(A36&lt;&gt;"Sim",0,IF(F36="Vencida",ROUND(H36+H36*J36+H36*K36*I36/30,2),IF(M36="Sim",0,IF(G36="",0,ROUND(H36/(1+L36)^((G36-$C$5)/30),2)))))</x:f>
        <x:v>0</x:v>
      </x:c>
      <x:c r="P36" s="85" t="n">
        <x:f>IF(AND(A36="Sim",N36="Sim",O36&gt;0),IFERROR(ROUND($I$9*O36/SUMIFS($O$33:$O$52,$A$33:$A$52,"Sim",$N$33:$N$52,"Sim"),2),0),0)</x:f>
        <x:v>0</x:v>
      </x:c>
      <x:c r="Q36" s="85" t="n">
        <x:f>IF(A36&lt;&gt;"Sim",0,ROUND(O36-P36,2))</x:f>
        <x:v>0</x:v>
      </x:c>
      <x:c r="R36" s="85" t="n">
        <x:f>IF(OR(A36&lt;&gt;"Sim",D36="",$I$28=""),0,IF(D36&lt;&gt;$I$28,Q36,0))</x:f>
        <x:v>0</x:v>
      </x:c>
    </x:row>
    <x:row r="37">
      <x:c r="A37" s="68" t="str">
        <x:v>Sim</x:v>
      </x:c>
      <x:c r="B37" s="68" t="str">
        <x:v>Proteção Veicular</x:v>
      </x:c>
      <x:c r="C37" s="68" t="str">
        <x:v>PV-001</x:v>
      </x:c>
      <x:c r="D37" s="68" t="str">
        <x:v>Azit Move</x:v>
      </x:c>
      <x:c r="E37" s="68" t="str">
        <x:v>Proteção</x:v>
      </x:c>
      <x:c r="F37" s="68" t="str">
        <x:v>Vencida</x:v>
      </x:c>
      <x:c r="G37" s="77" t="n">
        <x:v>46244</x:v>
      </x:c>
      <x:c r="H37" s="80" t="n">
        <x:v>180</x:v>
      </x:c>
      <x:c r="I37" s="84" t="n">
        <x:f>IF(AND(A37="Sim",F37="Vencida",G37&lt;&gt;""),MAX($C$5-G37,0),0)</x:f>
        <x:v>16</x:v>
      </x:c>
      <x:c r="J37" s="79" t="n">
        <x:v>0.02</x:v>
      </x:c>
      <x:c r="K37" s="79" t="n">
        <x:v>0.01</x:v>
      </x:c>
      <x:c r="L37" s="79" t="n">
        <x:v>0</x:v>
      </x:c>
      <x:c r="M37" s="68" t="str">
        <x:v>Não</x:v>
      </x:c>
      <x:c r="N37" s="68" t="str">
        <x:v>Sim</x:v>
      </x:c>
      <x:c r="O37" s="85" t="n">
        <x:f>IF(A37&lt;&gt;"Sim",0,IF(F37="Vencida",ROUND(H37+H37*J37+H37*K37*I37/30,2),IF(M37="Sim",0,IF(G37="",0,ROUND(H37/(1+L37)^((G37-$C$5)/30),2)))))</x:f>
        <x:v>184.56</x:v>
      </x:c>
      <x:c r="P37" s="85" t="n">
        <x:f>IF(AND(A37="Sim",N37="Sim",O37&gt;0),IFERROR(ROUND($I$9*O37/SUMIFS($O$33:$O$52,$A$33:$A$52,"Sim",$N$33:$N$52,"Sim"),2),0),0)</x:f>
        <x:v>3.69</x:v>
      </x:c>
      <x:c r="Q37" s="85" t="n">
        <x:f>IF(A37&lt;&gt;"Sim",0,ROUND(O37-P37,2))</x:f>
        <x:v>180.87</x:v>
      </x:c>
      <x:c r="R37" s="85" t="n">
        <x:f>IF(OR(A37&lt;&gt;"Sim",D37="",$I$28=""),0,IF(D37&lt;&gt;$I$28,Q37,0))</x:f>
        <x:v>180.87</x:v>
      </x:c>
    </x:row>
    <x:row r="38">
      <x:c r="A38" s="68" t="str">
        <x:v>Sim</x:v>
      </x:c>
      <x:c r="B38" s="68" t="str">
        <x:v>Proteção Veicular</x:v>
      </x:c>
      <x:c r="C38" s="68" t="str">
        <x:v>PV-001</x:v>
      </x:c>
      <x:c r="D38" s="68" t="str">
        <x:v>Azit Move</x:v>
      </x:c>
      <x:c r="E38" s="68" t="str">
        <x:v>Proteção</x:v>
      </x:c>
      <x:c r="F38" s="68" t="str">
        <x:v>Vincenda</x:v>
      </x:c>
      <x:c r="G38" s="77" t="n">
        <x:v>46275</x:v>
      </x:c>
      <x:c r="H38" s="80" t="n">
        <x:v>180</x:v>
      </x:c>
      <x:c r="I38" s="84" t="n">
        <x:f>IF(AND(A38="Sim",F38="Vencida",G38&lt;&gt;""),MAX($C$5-G38,0),0)</x:f>
        <x:v>0</x:v>
      </x:c>
      <x:c r="J38" s="79" t="n">
        <x:v>0.02</x:v>
      </x:c>
      <x:c r="K38" s="79" t="n">
        <x:v>0.01</x:v>
      </x:c>
      <x:c r="L38" s="79" t="n">
        <x:v>0</x:v>
      </x:c>
      <x:c r="M38" s="68" t="str">
        <x:v>Sim</x:v>
      </x:c>
      <x:c r="N38" s="68" t="str">
        <x:v>Não</x:v>
      </x:c>
      <x:c r="O38" s="85" t="n">
        <x:f>IF(A38&lt;&gt;"Sim",0,IF(F38="Vencida",ROUND(H38+H38*J38+H38*K38*I38/30,2),IF(M38="Sim",0,IF(G38="",0,ROUND(H38/(1+L38)^((G38-$C$5)/30),2)))))</x:f>
        <x:v>0</x:v>
      </x:c>
      <x:c r="P38" s="85" t="n">
        <x:f>IF(AND(A38="Sim",N38="Sim",O38&gt;0),IFERROR(ROUND($I$9*O38/SUMIFS($O$33:$O$52,$A$33:$A$52,"Sim",$N$33:$N$52,"Sim"),2),0),0)</x:f>
        <x:v>0</x:v>
      </x:c>
      <x:c r="Q38" s="85" t="n">
        <x:f>IF(A38&lt;&gt;"Sim",0,ROUND(O38-P38,2))</x:f>
        <x:v>0</x:v>
      </x:c>
      <x:c r="R38" s="85" t="n">
        <x:f>IF(OR(A38&lt;&gt;"Sim",D38="",$I$28=""),0,IF(D38&lt;&gt;$I$28,Q38,0))</x:f>
        <x:v>0</x:v>
      </x:c>
    </x:row>
    <x:row r="39">
      <x:c r="A39" s="68" t="str">
        <x:v>Sim</x:v>
      </x:c>
      <x:c r="B39" s="68" t="str">
        <x:v>Reembolso Parcelado</x:v>
      </x:c>
      <x:c r="C39" s="68" t="str">
        <x:v>RP-001</x:v>
      </x:c>
      <x:c r="D39" s="68" t="str">
        <x:v>Azit Move</x:v>
      </x:c>
      <x:c r="E39" s="68" t="str">
        <x:v>Principal</x:v>
      </x:c>
      <x:c r="F39" s="68" t="str">
        <x:v>Vencida</x:v>
      </x:c>
      <x:c r="G39" s="77" t="n">
        <x:v>46249</x:v>
      </x:c>
      <x:c r="H39" s="80" t="n">
        <x:v>600</x:v>
      </x:c>
      <x:c r="I39" s="84" t="n">
        <x:f>IF(AND(A39="Sim",F39="Vencida",G39&lt;&gt;""),MAX($C$5-G39,0),0)</x:f>
        <x:v>11</x:v>
      </x:c>
      <x:c r="J39" s="79" t="n">
        <x:v>0.02</x:v>
      </x:c>
      <x:c r="K39" s="79" t="n">
        <x:v>0.01</x:v>
      </x:c>
      <x:c r="L39" s="79" t="n">
        <x:v>0.015</x:v>
      </x:c>
      <x:c r="M39" s="68" t="str">
        <x:v>Não</x:v>
      </x:c>
      <x:c r="N39" s="68" t="str">
        <x:v>Sim</x:v>
      </x:c>
      <x:c r="O39" s="85" t="n">
        <x:f>IF(A39&lt;&gt;"Sim",0,IF(F39="Vencida",ROUND(H39+H39*J39+H39*K39*I39/30,2),IF(M39="Sim",0,IF(G39="",0,ROUND(H39/(1+L39)^((G39-$C$5)/30),2)))))</x:f>
        <x:v>614.2</x:v>
      </x:c>
      <x:c r="P39" s="85" t="n">
        <x:f>IF(AND(A39="Sim",N39="Sim",O39&gt;0),IFERROR(ROUND($I$9*O39/SUMIFS($O$33:$O$52,$A$33:$A$52,"Sim",$N$33:$N$52,"Sim"),2),0),0)</x:f>
        <x:v>12.28</x:v>
      </x:c>
      <x:c r="Q39" s="85" t="n">
        <x:f>IF(A39&lt;&gt;"Sim",0,ROUND(O39-P39,2))</x:f>
        <x:v>601.92</x:v>
      </x:c>
      <x:c r="R39" s="85" t="n">
        <x:f>IF(OR(A39&lt;&gt;"Sim",D39="",$I$28=""),0,IF(D39&lt;&gt;$I$28,Q39,0))</x:f>
        <x:v>601.92</x:v>
      </x:c>
    </x:row>
    <x:row r="40">
      <x:c r="A40" s="68" t="str">
        <x:v>Sim</x:v>
      </x:c>
      <x:c r="B40" s="68" t="str">
        <x:v>Reembolso Parcelado</x:v>
      </x:c>
      <x:c r="C40" s="68" t="str">
        <x:v>RP-001</x:v>
      </x:c>
      <x:c r="D40" s="68" t="str">
        <x:v>Azit Move</x:v>
      </x:c>
      <x:c r="E40" s="68" t="str">
        <x:v>Principal</x:v>
      </x:c>
      <x:c r="F40" s="68" t="str">
        <x:v>Vincenda</x:v>
      </x:c>
      <x:c r="G40" s="77" t="n">
        <x:v>46280</x:v>
      </x:c>
      <x:c r="H40" s="80" t="n">
        <x:v>600</x:v>
      </x:c>
      <x:c r="I40" s="84" t="n">
        <x:f>IF(AND(A40="Sim",F40="Vencida",G40&lt;&gt;""),MAX($C$5-G40,0),0)</x:f>
        <x:v>0</x:v>
      </x:c>
      <x:c r="J40" s="79" t="n">
        <x:v>0.02</x:v>
      </x:c>
      <x:c r="K40" s="79" t="n">
        <x:v>0.01</x:v>
      </x:c>
      <x:c r="L40" s="79" t="n">
        <x:v>0.015</x:v>
      </x:c>
      <x:c r="M40" s="68" t="str">
        <x:v>Não</x:v>
      </x:c>
      <x:c r="N40" s="68" t="str">
        <x:v>Sim</x:v>
      </x:c>
      <x:c r="O40" s="85" t="n">
        <x:f>IF(A40&lt;&gt;"Sim",0,IF(F40="Vencida",ROUND(H40+H40*J40+H40*K40*I40/30,2),IF(M40="Sim",0,IF(G40="",0,ROUND(H40/(1+L40)^((G40-$C$5)/30),2)))))</x:f>
        <x:v>594.07</x:v>
      </x:c>
      <x:c r="P40" s="85" t="n">
        <x:f>IF(AND(A40="Sim",N40="Sim",O40&gt;0),IFERROR(ROUND($I$9*O40/SUMIFS($O$33:$O$52,$A$33:$A$52,"Sim",$N$33:$N$52,"Sim"),2),0),0)</x:f>
        <x:v>11.88</x:v>
      </x:c>
      <x:c r="Q40" s="85" t="n">
        <x:f>IF(A40&lt;&gt;"Sim",0,ROUND(O40-P40,2))</x:f>
        <x:v>582.19</x:v>
      </x:c>
      <x:c r="R40" s="85" t="n">
        <x:f>IF(OR(A40&lt;&gt;"Sim",D40="",$I$28=""),0,IF(D40&lt;&gt;$I$28,Q40,0))</x:f>
        <x:v>582.19</x:v>
      </x:c>
    </x:row>
    <x:row r="41">
      <x:c r="A41" s="68" t="str">
        <x:v>Sim</x:v>
      </x:c>
      <x:c r="B41" s="68" t="str">
        <x:v>Acordo de Pagamento</x:v>
      </x:c>
      <x:c r="C41" s="68" t="str">
        <x:v>AP-001</x:v>
      </x:c>
      <x:c r="D41" s="68" t="str">
        <x:v>Azit Move</x:v>
      </x:c>
      <x:c r="E41" s="68" t="str">
        <x:v>Principal</x:v>
      </x:c>
      <x:c r="F41" s="68" t="str">
        <x:v>Vincenda</x:v>
      </x:c>
      <x:c r="G41" s="77" t="n">
        <x:v>46285</x:v>
      </x:c>
      <x:c r="H41" s="80" t="n">
        <x:v>800</x:v>
      </x:c>
      <x:c r="I41" s="84" t="n">
        <x:f>IF(AND(A41="Sim",F41="Vencida",G41&lt;&gt;""),MAX($C$5-G41,0),0)</x:f>
        <x:v>0</x:v>
      </x:c>
      <x:c r="J41" s="79" t="n">
        <x:v>0.02</x:v>
      </x:c>
      <x:c r="K41" s="79" t="n">
        <x:v>0.01</x:v>
      </x:c>
      <x:c r="L41" s="79" t="n">
        <x:v>0.0499</x:v>
      </x:c>
      <x:c r="M41" s="68" t="str">
        <x:v>Não</x:v>
      </x:c>
      <x:c r="N41" s="68" t="str">
        <x:v>Sim</x:v>
      </x:c>
      <x:c r="O41" s="85" t="n">
        <x:f>IF(A41&lt;&gt;"Sim",0,IF(F41="Vencida",ROUND(H41+H41*J41+H41*K41*I41/30,2),IF(M41="Sim",0,IF(G41="",0,ROUND(H41/(1+L41)^((G41-$C$5)/30),2)))))</x:f>
        <x:v>768.19</x:v>
      </x:c>
      <x:c r="P41" s="85" t="n">
        <x:f>IF(AND(A41="Sim",N41="Sim",O41&gt;0),IFERROR(ROUND($I$9*O41/SUMIFS($O$33:$O$52,$A$33:$A$52,"Sim",$N$33:$N$52,"Sim"),2),0),0)</x:f>
        <x:v>15.36</x:v>
      </x:c>
      <x:c r="Q41" s="85" t="n">
        <x:f>IF(A41&lt;&gt;"Sim",0,ROUND(O41-P41,2))</x:f>
        <x:v>752.83</x:v>
      </x:c>
      <x:c r="R41" s="85" t="n">
        <x:f>IF(OR(A41&lt;&gt;"Sim",D41="",$I$28=""),0,IF(D41&lt;&gt;$I$28,Q41,0))</x:f>
        <x:v>752.83</x:v>
      </x:c>
    </x:row>
    <x:row r="42">
      <x:c r="A42" s="68" t="str">
        <x:v>Não</x:v>
      </x:c>
      <x:c r="B42" s="68" t="str"/>
      <x:c r="C42" s="68" t="str"/>
      <x:c r="D42" s="68" t="str"/>
      <x:c r="E42" s="68" t="str"/>
      <x:c r="F42" s="68" t="str">
        <x:v>Vincenda</x:v>
      </x:c>
      <x:c r="G42" s="77"/>
      <x:c r="H42" s="80" t="n">
        <x:v>0</x:v>
      </x:c>
      <x:c r="I42" s="84" t="n">
        <x:f>IF(AND(A42="Sim",F42="Vencida",G42&lt;&gt;""),MAX($C$5-G42,0),0)</x:f>
        <x:v>0</x:v>
      </x:c>
      <x:c r="J42" s="79" t="n">
        <x:v>0.02</x:v>
      </x:c>
      <x:c r="K42" s="79" t="n">
        <x:v>0.01</x:v>
      </x:c>
      <x:c r="L42" s="79" t="n">
        <x:v>0</x:v>
      </x:c>
      <x:c r="M42" s="68" t="str">
        <x:v>Não</x:v>
      </x:c>
      <x:c r="N42" s="68" t="str">
        <x:v>Sim</x:v>
      </x:c>
      <x:c r="O42" s="85" t="n">
        <x:f>IF(A42&lt;&gt;"Sim",0,IF(F42="Vencida",ROUND(H42+H42*J42+H42*K42*I42/30,2),IF(M42="Sim",0,IF(G42="",0,ROUND(H42/(1+L42)^((G42-$C$5)/30),2)))))</x:f>
        <x:v>0</x:v>
      </x:c>
      <x:c r="P42" s="85" t="n">
        <x:f>IF(AND(A42="Sim",N42="Sim",O42&gt;0),IFERROR(ROUND($I$9*O42/SUMIFS($O$33:$O$52,$A$33:$A$52,"Sim",$N$33:$N$52,"Sim"),2),0),0)</x:f>
        <x:v>0</x:v>
      </x:c>
      <x:c r="Q42" s="85" t="n">
        <x:f>IF(A42&lt;&gt;"Sim",0,ROUND(O42-P42,2))</x:f>
        <x:v>0</x:v>
      </x:c>
      <x:c r="R42" s="85" t="n">
        <x:f>IF(OR(A42&lt;&gt;"Sim",D42="",$I$28=""),0,IF(D42&lt;&gt;$I$28,Q42,0))</x:f>
        <x:v>0</x:v>
      </x:c>
    </x:row>
    <x:row r="43">
      <x:c r="A43" s="68" t="str">
        <x:v>Não</x:v>
      </x:c>
      <x:c r="B43" s="68" t="str"/>
      <x:c r="C43" s="68" t="str"/>
      <x:c r="D43" s="68" t="str"/>
      <x:c r="E43" s="68" t="str"/>
      <x:c r="F43" s="68" t="str">
        <x:v>Vincenda</x:v>
      </x:c>
      <x:c r="G43" s="77"/>
      <x:c r="H43" s="80" t="n">
        <x:v>0</x:v>
      </x:c>
      <x:c r="I43" s="84" t="n">
        <x:f>IF(AND(A43="Sim",F43="Vencida",G43&lt;&gt;""),MAX($C$5-G43,0),0)</x:f>
        <x:v>0</x:v>
      </x:c>
      <x:c r="J43" s="79" t="n">
        <x:v>0.02</x:v>
      </x:c>
      <x:c r="K43" s="79" t="n">
        <x:v>0.01</x:v>
      </x:c>
      <x:c r="L43" s="79" t="n">
        <x:v>0</x:v>
      </x:c>
      <x:c r="M43" s="68" t="str">
        <x:v>Não</x:v>
      </x:c>
      <x:c r="N43" s="68" t="str">
        <x:v>Sim</x:v>
      </x:c>
      <x:c r="O43" s="85" t="n">
        <x:f>IF(A43&lt;&gt;"Sim",0,IF(F43="Vencida",ROUND(H43+H43*J43+H43*K43*I43/30,2),IF(M43="Sim",0,IF(G43="",0,ROUND(H43/(1+L43)^((G43-$C$5)/30),2)))))</x:f>
        <x:v>0</x:v>
      </x:c>
      <x:c r="P43" s="85" t="n">
        <x:f>IF(AND(A43="Sim",N43="Sim",O43&gt;0),IFERROR(ROUND($I$9*O43/SUMIFS($O$33:$O$52,$A$33:$A$52,"Sim",$N$33:$N$52,"Sim"),2),0),0)</x:f>
        <x:v>0</x:v>
      </x:c>
      <x:c r="Q43" s="85" t="n">
        <x:f>IF(A43&lt;&gt;"Sim",0,ROUND(O43-P43,2))</x:f>
        <x:v>0</x:v>
      </x:c>
      <x:c r="R43" s="85" t="n">
        <x:f>IF(OR(A43&lt;&gt;"Sim",D43="",$I$28=""),0,IF(D43&lt;&gt;$I$28,Q43,0))</x:f>
        <x:v>0</x:v>
      </x:c>
    </x:row>
    <x:row r="44">
      <x:c r="A44" s="68" t="str">
        <x:v>Não</x:v>
      </x:c>
      <x:c r="B44" s="68" t="str"/>
      <x:c r="C44" s="68" t="str"/>
      <x:c r="D44" s="68" t="str"/>
      <x:c r="E44" s="68" t="str"/>
      <x:c r="F44" s="68" t="str">
        <x:v>Vincenda</x:v>
      </x:c>
      <x:c r="G44" s="77"/>
      <x:c r="H44" s="80" t="n">
        <x:v>0</x:v>
      </x:c>
      <x:c r="I44" s="84" t="n">
        <x:f>IF(AND(A44="Sim",F44="Vencida",G44&lt;&gt;""),MAX($C$5-G44,0),0)</x:f>
        <x:v>0</x:v>
      </x:c>
      <x:c r="J44" s="79" t="n">
        <x:v>0.02</x:v>
      </x:c>
      <x:c r="K44" s="79" t="n">
        <x:v>0.01</x:v>
      </x:c>
      <x:c r="L44" s="79" t="n">
        <x:v>0</x:v>
      </x:c>
      <x:c r="M44" s="68" t="str">
        <x:v>Não</x:v>
      </x:c>
      <x:c r="N44" s="68" t="str">
        <x:v>Sim</x:v>
      </x:c>
      <x:c r="O44" s="85" t="n">
        <x:f>IF(A44&lt;&gt;"Sim",0,IF(F44="Vencida",ROUND(H44+H44*J44+H44*K44*I44/30,2),IF(M44="Sim",0,IF(G44="",0,ROUND(H44/(1+L44)^((G44-$C$5)/30),2)))))</x:f>
        <x:v>0</x:v>
      </x:c>
      <x:c r="P44" s="85" t="n">
        <x:f>IF(AND(A44="Sim",N44="Sim",O44&gt;0),IFERROR(ROUND($I$9*O44/SUMIFS($O$33:$O$52,$A$33:$A$52,"Sim",$N$33:$N$52,"Sim"),2),0),0)</x:f>
        <x:v>0</x:v>
      </x:c>
      <x:c r="Q44" s="85" t="n">
        <x:f>IF(A44&lt;&gt;"Sim",0,ROUND(O44-P44,2))</x:f>
        <x:v>0</x:v>
      </x:c>
      <x:c r="R44" s="85" t="n">
        <x:f>IF(OR(A44&lt;&gt;"Sim",D44="",$I$28=""),0,IF(D44&lt;&gt;$I$28,Q44,0))</x:f>
        <x:v>0</x:v>
      </x:c>
    </x:row>
    <x:row r="45">
      <x:c r="A45" s="68" t="str">
        <x:v>Não</x:v>
      </x:c>
      <x:c r="B45" s="68" t="str"/>
      <x:c r="C45" s="68" t="str"/>
      <x:c r="D45" s="68" t="str"/>
      <x:c r="E45" s="68" t="str"/>
      <x:c r="F45" s="68" t="str">
        <x:v>Vincenda</x:v>
      </x:c>
      <x:c r="G45" s="77"/>
      <x:c r="H45" s="80" t="n">
        <x:v>0</x:v>
      </x:c>
      <x:c r="I45" s="84" t="n">
        <x:f>IF(AND(A45="Sim",F45="Vencida",G45&lt;&gt;""),MAX($C$5-G45,0),0)</x:f>
        <x:v>0</x:v>
      </x:c>
      <x:c r="J45" s="79" t="n">
        <x:v>0.02</x:v>
      </x:c>
      <x:c r="K45" s="79" t="n">
        <x:v>0.01</x:v>
      </x:c>
      <x:c r="L45" s="79" t="n">
        <x:v>0</x:v>
      </x:c>
      <x:c r="M45" s="68" t="str">
        <x:v>Não</x:v>
      </x:c>
      <x:c r="N45" s="68" t="str">
        <x:v>Sim</x:v>
      </x:c>
      <x:c r="O45" s="85" t="n">
        <x:f>IF(A45&lt;&gt;"Sim",0,IF(F45="Vencida",ROUND(H45+H45*J45+H45*K45*I45/30,2),IF(M45="Sim",0,IF(G45="",0,ROUND(H45/(1+L45)^((G45-$C$5)/30),2)))))</x:f>
        <x:v>0</x:v>
      </x:c>
      <x:c r="P45" s="85" t="n">
        <x:f>IF(AND(A45="Sim",N45="Sim",O45&gt;0),IFERROR(ROUND($I$9*O45/SUMIFS($O$33:$O$52,$A$33:$A$52,"Sim",$N$33:$N$52,"Sim"),2),0),0)</x:f>
        <x:v>0</x:v>
      </x:c>
      <x:c r="Q45" s="85" t="n">
        <x:f>IF(A45&lt;&gt;"Sim",0,ROUND(O45-P45,2))</x:f>
        <x:v>0</x:v>
      </x:c>
      <x:c r="R45" s="85" t="n">
        <x:f>IF(OR(A45&lt;&gt;"Sim",D45="",$I$28=""),0,IF(D45&lt;&gt;$I$28,Q45,0))</x:f>
        <x:v>0</x:v>
      </x:c>
    </x:row>
    <x:row r="46">
      <x:c r="A46" s="68" t="str">
        <x:v>Não</x:v>
      </x:c>
      <x:c r="B46" s="68" t="str"/>
      <x:c r="C46" s="68" t="str"/>
      <x:c r="D46" s="68" t="str"/>
      <x:c r="E46" s="68" t="str"/>
      <x:c r="F46" s="68" t="str">
        <x:v>Vincenda</x:v>
      </x:c>
      <x:c r="G46" s="77"/>
      <x:c r="H46" s="80" t="n">
        <x:v>0</x:v>
      </x:c>
      <x:c r="I46" s="84" t="n">
        <x:f>IF(AND(A46="Sim",F46="Vencida",G46&lt;&gt;""),MAX($C$5-G46,0),0)</x:f>
        <x:v>0</x:v>
      </x:c>
      <x:c r="J46" s="79" t="n">
        <x:v>0.02</x:v>
      </x:c>
      <x:c r="K46" s="79" t="n">
        <x:v>0.01</x:v>
      </x:c>
      <x:c r="L46" s="79" t="n">
        <x:v>0</x:v>
      </x:c>
      <x:c r="M46" s="68" t="str">
        <x:v>Não</x:v>
      </x:c>
      <x:c r="N46" s="68" t="str">
        <x:v>Sim</x:v>
      </x:c>
      <x:c r="O46" s="85" t="n">
        <x:f>IF(A46&lt;&gt;"Sim",0,IF(F46="Vencida",ROUND(H46+H46*J46+H46*K46*I46/30,2),IF(M46="Sim",0,IF(G46="",0,ROUND(H46/(1+L46)^((G46-$C$5)/30),2)))))</x:f>
        <x:v>0</x:v>
      </x:c>
      <x:c r="P46" s="85" t="n">
        <x:f>IF(AND(A46="Sim",N46="Sim",O46&gt;0),IFERROR(ROUND($I$9*O46/SUMIFS($O$33:$O$52,$A$33:$A$52,"Sim",$N$33:$N$52,"Sim"),2),0),0)</x:f>
        <x:v>0</x:v>
      </x:c>
      <x:c r="Q46" s="85" t="n">
        <x:f>IF(A46&lt;&gt;"Sim",0,ROUND(O46-P46,2))</x:f>
        <x:v>0</x:v>
      </x:c>
      <x:c r="R46" s="85" t="n">
        <x:f>IF(OR(A46&lt;&gt;"Sim",D46="",$I$28=""),0,IF(D46&lt;&gt;$I$28,Q46,0))</x:f>
        <x:v>0</x:v>
      </x:c>
    </x:row>
    <x:row r="47">
      <x:c r="A47" s="68" t="str">
        <x:v>Não</x:v>
      </x:c>
      <x:c r="B47" s="68" t="str"/>
      <x:c r="C47" s="68" t="str"/>
      <x:c r="D47" s="68" t="str"/>
      <x:c r="E47" s="68" t="str"/>
      <x:c r="F47" s="68" t="str">
        <x:v>Vincenda</x:v>
      </x:c>
      <x:c r="G47" s="77"/>
      <x:c r="H47" s="80" t="n">
        <x:v>0</x:v>
      </x:c>
      <x:c r="I47" s="84" t="n">
        <x:f>IF(AND(A47="Sim",F47="Vencida",G47&lt;&gt;""),MAX($C$5-G47,0),0)</x:f>
        <x:v>0</x:v>
      </x:c>
      <x:c r="J47" s="79" t="n">
        <x:v>0.02</x:v>
      </x:c>
      <x:c r="K47" s="79" t="n">
        <x:v>0.01</x:v>
      </x:c>
      <x:c r="L47" s="79" t="n">
        <x:v>0</x:v>
      </x:c>
      <x:c r="M47" s="68" t="str">
        <x:v>Não</x:v>
      </x:c>
      <x:c r="N47" s="68" t="str">
        <x:v>Sim</x:v>
      </x:c>
      <x:c r="O47" s="85" t="n">
        <x:f>IF(A47&lt;&gt;"Sim",0,IF(F47="Vencida",ROUND(H47+H47*J47+H47*K47*I47/30,2),IF(M47="Sim",0,IF(G47="",0,ROUND(H47/(1+L47)^((G47-$C$5)/30),2)))))</x:f>
        <x:v>0</x:v>
      </x:c>
      <x:c r="P47" s="85" t="n">
        <x:f>IF(AND(A47="Sim",N47="Sim",O47&gt;0),IFERROR(ROUND($I$9*O47/SUMIFS($O$33:$O$52,$A$33:$A$52,"Sim",$N$33:$N$52,"Sim"),2),0),0)</x:f>
        <x:v>0</x:v>
      </x:c>
      <x:c r="Q47" s="85" t="n">
        <x:f>IF(A47&lt;&gt;"Sim",0,ROUND(O47-P47,2))</x:f>
        <x:v>0</x:v>
      </x:c>
      <x:c r="R47" s="85" t="n">
        <x:f>IF(OR(A47&lt;&gt;"Sim",D47="",$I$28=""),0,IF(D47&lt;&gt;$I$28,Q47,0))</x:f>
        <x:v>0</x:v>
      </x:c>
    </x:row>
    <x:row r="48">
      <x:c r="A48" s="68" t="str">
        <x:v>Não</x:v>
      </x:c>
      <x:c r="B48" s="68" t="str"/>
      <x:c r="C48" s="68" t="str"/>
      <x:c r="D48" s="68" t="str"/>
      <x:c r="E48" s="68" t="str"/>
      <x:c r="F48" s="68" t="str">
        <x:v>Vincenda</x:v>
      </x:c>
      <x:c r="G48" s="77"/>
      <x:c r="H48" s="80" t="n">
        <x:v>0</x:v>
      </x:c>
      <x:c r="I48" s="84" t="n">
        <x:f>IF(AND(A48="Sim",F48="Vencida",G48&lt;&gt;""),MAX($C$5-G48,0),0)</x:f>
        <x:v>0</x:v>
      </x:c>
      <x:c r="J48" s="79" t="n">
        <x:v>0.02</x:v>
      </x:c>
      <x:c r="K48" s="79" t="n">
        <x:v>0.01</x:v>
      </x:c>
      <x:c r="L48" s="79" t="n">
        <x:v>0</x:v>
      </x:c>
      <x:c r="M48" s="68" t="str">
        <x:v>Não</x:v>
      </x:c>
      <x:c r="N48" s="68" t="str">
        <x:v>Sim</x:v>
      </x:c>
      <x:c r="O48" s="85" t="n">
        <x:f>IF(A48&lt;&gt;"Sim",0,IF(F48="Vencida",ROUND(H48+H48*J48+H48*K48*I48/30,2),IF(M48="Sim",0,IF(G48="",0,ROUND(H48/(1+L48)^((G48-$C$5)/30),2)))))</x:f>
        <x:v>0</x:v>
      </x:c>
      <x:c r="P48" s="85" t="n">
        <x:f>IF(AND(A48="Sim",N48="Sim",O48&gt;0),IFERROR(ROUND($I$9*O48/SUMIFS($O$33:$O$52,$A$33:$A$52,"Sim",$N$33:$N$52,"Sim"),2),0),0)</x:f>
        <x:v>0</x:v>
      </x:c>
      <x:c r="Q48" s="85" t="n">
        <x:f>IF(A48&lt;&gt;"Sim",0,ROUND(O48-P48,2))</x:f>
        <x:v>0</x:v>
      </x:c>
      <x:c r="R48" s="85" t="n">
        <x:f>IF(OR(A48&lt;&gt;"Sim",D48="",$I$28=""),0,IF(D48&lt;&gt;$I$28,Q48,0))</x:f>
        <x:v>0</x:v>
      </x:c>
    </x:row>
    <x:row r="49">
      <x:c r="A49" s="68" t="str">
        <x:v>Não</x:v>
      </x:c>
      <x:c r="B49" s="68" t="str"/>
      <x:c r="C49" s="68" t="str"/>
      <x:c r="D49" s="68" t="str"/>
      <x:c r="E49" s="68" t="str"/>
      <x:c r="F49" s="68" t="str">
        <x:v>Vincenda</x:v>
      </x:c>
      <x:c r="G49" s="77"/>
      <x:c r="H49" s="80" t="n">
        <x:v>0</x:v>
      </x:c>
      <x:c r="I49" s="84" t="n">
        <x:f>IF(AND(A49="Sim",F49="Vencida",G49&lt;&gt;""),MAX($C$5-G49,0),0)</x:f>
        <x:v>0</x:v>
      </x:c>
      <x:c r="J49" s="79" t="n">
        <x:v>0.02</x:v>
      </x:c>
      <x:c r="K49" s="79" t="n">
        <x:v>0.01</x:v>
      </x:c>
      <x:c r="L49" s="79" t="n">
        <x:v>0</x:v>
      </x:c>
      <x:c r="M49" s="68" t="str">
        <x:v>Não</x:v>
      </x:c>
      <x:c r="N49" s="68" t="str">
        <x:v>Sim</x:v>
      </x:c>
      <x:c r="O49" s="85" t="n">
        <x:f>IF(A49&lt;&gt;"Sim",0,IF(F49="Vencida",ROUND(H49+H49*J49+H49*K49*I49/30,2),IF(M49="Sim",0,IF(G49="",0,ROUND(H49/(1+L49)^((G49-$C$5)/30),2)))))</x:f>
        <x:v>0</x:v>
      </x:c>
      <x:c r="P49" s="85" t="n">
        <x:f>IF(AND(A49="Sim",N49="Sim",O49&gt;0),IFERROR(ROUND($I$9*O49/SUMIFS($O$33:$O$52,$A$33:$A$52,"Sim",$N$33:$N$52,"Sim"),2),0),0)</x:f>
        <x:v>0</x:v>
      </x:c>
      <x:c r="Q49" s="85" t="n">
        <x:f>IF(A49&lt;&gt;"Sim",0,ROUND(O49-P49,2))</x:f>
        <x:v>0</x:v>
      </x:c>
      <x:c r="R49" s="85" t="n">
        <x:f>IF(OR(A49&lt;&gt;"Sim",D49="",$I$28=""),0,IF(D49&lt;&gt;$I$28,Q49,0))</x:f>
        <x:v>0</x:v>
      </x:c>
    </x:row>
    <x:row r="50">
      <x:c r="A50" s="68" t="str">
        <x:v>Não</x:v>
      </x:c>
      <x:c r="B50" s="68" t="str"/>
      <x:c r="C50" s="68" t="str"/>
      <x:c r="D50" s="68" t="str"/>
      <x:c r="E50" s="68" t="str"/>
      <x:c r="F50" s="68" t="str">
        <x:v>Vincenda</x:v>
      </x:c>
      <x:c r="G50" s="77"/>
      <x:c r="H50" s="80" t="n">
        <x:v>0</x:v>
      </x:c>
      <x:c r="I50" s="84" t="n">
        <x:f>IF(AND(A50="Sim",F50="Vencida",G50&lt;&gt;""),MAX($C$5-G50,0),0)</x:f>
        <x:v>0</x:v>
      </x:c>
      <x:c r="J50" s="79" t="n">
        <x:v>0.02</x:v>
      </x:c>
      <x:c r="K50" s="79" t="n">
        <x:v>0.01</x:v>
      </x:c>
      <x:c r="L50" s="79" t="n">
        <x:v>0</x:v>
      </x:c>
      <x:c r="M50" s="68" t="str">
        <x:v>Não</x:v>
      </x:c>
      <x:c r="N50" s="68" t="str">
        <x:v>Sim</x:v>
      </x:c>
      <x:c r="O50" s="85" t="n">
        <x:f>IF(A50&lt;&gt;"Sim",0,IF(F50="Vencida",ROUND(H50+H50*J50+H50*K50*I50/30,2),IF(M50="Sim",0,IF(G50="",0,ROUND(H50/(1+L50)^((G50-$C$5)/30),2)))))</x:f>
        <x:v>0</x:v>
      </x:c>
      <x:c r="P50" s="85" t="n">
        <x:f>IF(AND(A50="Sim",N50="Sim",O50&gt;0),IFERROR(ROUND($I$9*O50/SUMIFS($O$33:$O$52,$A$33:$A$52,"Sim",$N$33:$N$52,"Sim"),2),0),0)</x:f>
        <x:v>0</x:v>
      </x:c>
      <x:c r="Q50" s="85" t="n">
        <x:f>IF(A50&lt;&gt;"Sim",0,ROUND(O50-P50,2))</x:f>
        <x:v>0</x:v>
      </x:c>
      <x:c r="R50" s="85" t="n">
        <x:f>IF(OR(A50&lt;&gt;"Sim",D50="",$I$28=""),0,IF(D50&lt;&gt;$I$28,Q50,0))</x:f>
        <x:v>0</x:v>
      </x:c>
    </x:row>
    <x:row r="51">
      <x:c r="A51" s="68" t="str">
        <x:v>Não</x:v>
      </x:c>
      <x:c r="B51" s="68" t="str"/>
      <x:c r="C51" s="68" t="str"/>
      <x:c r="D51" s="68" t="str"/>
      <x:c r="E51" s="68" t="str"/>
      <x:c r="F51" s="68" t="str">
        <x:v>Vincenda</x:v>
      </x:c>
      <x:c r="G51" s="77"/>
      <x:c r="H51" s="80" t="n">
        <x:v>0</x:v>
      </x:c>
      <x:c r="I51" s="84" t="n">
        <x:f>IF(AND(A51="Sim",F51="Vencida",G51&lt;&gt;""),MAX($C$5-G51,0),0)</x:f>
        <x:v>0</x:v>
      </x:c>
      <x:c r="J51" s="79" t="n">
        <x:v>0.02</x:v>
      </x:c>
      <x:c r="K51" s="79" t="n">
        <x:v>0.01</x:v>
      </x:c>
      <x:c r="L51" s="79" t="n">
        <x:v>0</x:v>
      </x:c>
      <x:c r="M51" s="68" t="str">
        <x:v>Não</x:v>
      </x:c>
      <x:c r="N51" s="68" t="str">
        <x:v>Sim</x:v>
      </x:c>
      <x:c r="O51" s="85" t="n">
        <x:f>IF(A51&lt;&gt;"Sim",0,IF(F51="Vencida",ROUND(H51+H51*J51+H51*K51*I51/30,2),IF(M51="Sim",0,IF(G51="",0,ROUND(H51/(1+L51)^((G51-$C$5)/30),2)))))</x:f>
        <x:v>0</x:v>
      </x:c>
      <x:c r="P51" s="85" t="n">
        <x:f>IF(AND(A51="Sim",N51="Sim",O51&gt;0),IFERROR(ROUND($I$9*O51/SUMIFS($O$33:$O$52,$A$33:$A$52,"Sim",$N$33:$N$52,"Sim"),2),0),0)</x:f>
        <x:v>0</x:v>
      </x:c>
      <x:c r="Q51" s="85" t="n">
        <x:f>IF(A51&lt;&gt;"Sim",0,ROUND(O51-P51,2))</x:f>
        <x:v>0</x:v>
      </x:c>
      <x:c r="R51" s="85" t="n">
        <x:f>IF(OR(A51&lt;&gt;"Sim",D51="",$I$28=""),0,IF(D51&lt;&gt;$I$28,Q51,0))</x:f>
        <x:v>0</x:v>
      </x:c>
    </x:row>
    <x:row r="52">
      <x:c r="A52" s="68" t="str">
        <x:v>Não</x:v>
      </x:c>
      <x:c r="B52" s="68" t="str"/>
      <x:c r="C52" s="68" t="str"/>
      <x:c r="D52" s="68" t="str"/>
      <x:c r="E52" s="68" t="str"/>
      <x:c r="F52" s="68" t="str">
        <x:v>Vincenda</x:v>
      </x:c>
      <x:c r="G52" s="77"/>
      <x:c r="H52" s="80" t="n">
        <x:v>0</x:v>
      </x:c>
      <x:c r="I52" s="84" t="n">
        <x:f>IF(AND(A52="Sim",F52="Vencida",G52&lt;&gt;""),MAX($C$5-G52,0),0)</x:f>
        <x:v>0</x:v>
      </x:c>
      <x:c r="J52" s="79" t="n">
        <x:v>0.02</x:v>
      </x:c>
      <x:c r="K52" s="79" t="n">
        <x:v>0.01</x:v>
      </x:c>
      <x:c r="L52" s="79" t="n">
        <x:v>0</x:v>
      </x:c>
      <x:c r="M52" s="68" t="str">
        <x:v>Não</x:v>
      </x:c>
      <x:c r="N52" s="68" t="str">
        <x:v>Sim</x:v>
      </x:c>
      <x:c r="O52" s="85" t="n">
        <x:f>IF(A52&lt;&gt;"Sim",0,IF(F52="Vencida",ROUND(H52+H52*J52+H52*K52*I52/30,2),IF(M52="Sim",0,IF(G52="",0,ROUND(H52/(1+L52)^((G52-$C$5)/30),2)))))</x:f>
        <x:v>0</x:v>
      </x:c>
      <x:c r="P52" s="85" t="n">
        <x:f>IF(AND(A52="Sim",N52="Sim",O52&gt;0),IFERROR(ROUND($I$9*O52/SUMIFS($O$33:$O$52,$A$33:$A$52,"Sim",$N$33:$N$52,"Sim"),2),0),0)</x:f>
        <x:v>0</x:v>
      </x:c>
      <x:c r="Q52" s="85" t="n">
        <x:f>IF(A52&lt;&gt;"Sim",0,ROUND(O52-P52,2))</x:f>
        <x:v>0</x:v>
      </x:c>
      <x:c r="R52" s="85" t="n">
        <x:f>IF(OR(A52&lt;&gt;"Sim",D52="",$I$28=""),0,IF(D52&lt;&gt;$I$28,Q52,0))</x:f>
        <x:v>0</x:v>
      </x:c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</x:row>
    <x:row r="55" ht="20" customHeight="1">
      <x:c r="A55" s="34" t="str">
        <x:v>3. ATIVOS DA NOVA OPERAÇÃO E PROTEÇÃO VEICULAR</x:v>
      </x:c>
      <x:c r="B55" s="34" t="str">
        <x:v>3. ATIVOS DA NOVA OPERAÇÃO E PROTEÇÃO VEICULAR</x:v>
      </x:c>
      <x:c r="C55" s="34" t="str">
        <x:v>3. ATIVOS DA NOVA OPERAÇÃO E PROTEÇÃO VEICULAR</x:v>
      </x:c>
      <x:c r="D55" s="34" t="str">
        <x:v>3. ATIVOS DA NOVA OPERAÇÃO E PROTEÇÃO VEICULAR</x:v>
      </x:c>
      <x:c r="E55" s="34" t="str">
        <x:v>3. ATIVOS DA NOVA OPERAÇÃO E PROTEÇÃO VEICULAR</x:v>
      </x:c>
      <x:c r="F55" s="34" t="str">
        <x:v>3. ATIVOS DA NOVA OPERAÇÃO E PROTEÇÃO VEICULAR</x:v>
      </x:c>
      <x:c r="G55" s="34" t="str">
        <x:v>3. ATIVOS DA NOVA OPERAÇÃO E PROTEÇÃO VEICULAR</x:v>
      </x:c>
      <x:c r="H55" s="34" t="str">
        <x:v>3. ATIVOS DA NOVA OPERAÇÃO E PROTEÇÃO VEICULAR</x:v>
      </x:c>
      <x:c r="I55" s="34" t="str">
        <x:v>3. ATIVOS DA NOVA OPERAÇÃO E PROTEÇÃO VEICULAR</x:v>
      </x:c>
      <x:c r="J55" s="34" t="str">
        <x:v>3. ATIVOS DA NOVA OPERAÇÃO E PROTEÇÃO VEICULAR</x:v>
      </x:c>
      <x:c r="K55" s="34" t="str">
        <x:v>3. ATIVOS DA NOVA OPERAÇÃO E PROTEÇÃO VEICULAR</x:v>
      </x:c>
      <x:c r="L55" s="34" t="str">
        <x:v>3. ATIVOS DA NOVA OPERAÇÃO E PROTEÇÃO VEICULAR</x:v>
      </x:c>
      <x:c r="M55" s="34" t="str">
        <x:v>3. ATIVOS DA NOVA OPERAÇÃO E PROTEÇÃO VEICULAR</x:v>
      </x:c>
      <x:c r="N55" s="34" t="str">
        <x:v>3. ATIVOS DA NOVA OPERAÇÃO E PROTEÇÃO VEICULAR</x:v>
      </x:c>
      <x:c r="O55" s="34" t="str">
        <x:v>3. ATIVOS DA NOVA OPERAÇÃO E PROTEÇÃO VEICULAR</x:v>
      </x:c>
      <x:c r="P55" s="29"/>
      <x:c r="Q55" s="29"/>
      <x:c r="R55" s="29"/>
    </x:row>
    <x:row r="56">
      <x:c r="A56" s="14" t="str">
        <x:v>Ativo / placa</x:v>
      </x:c>
      <x:c r="B56" s="14" t="str">
        <x:v>Tratamento</x:v>
      </x:c>
      <x:c r="C56" s="14" t="str">
        <x:v>Proprietário</x:v>
      </x:c>
      <x:c r="D56" s="14" t="str">
        <x:v>Ativo principal?</x:v>
      </x:c>
      <x:c r="E56" s="14" t="str">
        <x:v>Valor transação</x:v>
      </x:c>
      <x:c r="F56" s="14" t="str">
        <x:v>Proteção?</x:v>
      </x:c>
      <x:c r="G56" s="14" t="str">
        <x:v>FIPE ref.</x:v>
      </x:c>
      <x:c r="H56" s="14" t="str">
        <x:v>TXF</x:v>
      </x:c>
      <x:c r="I56" s="14" t="str">
        <x:v>CMIN</x:v>
      </x:c>
      <x:c r="J56" s="14" t="str">
        <x:v>TADM</x:v>
      </x:c>
      <x:c r="K56" s="14" t="str">
        <x:v>CASS</x:v>
      </x:c>
      <x:c r="L56" s="14" t="str">
        <x:v>APERF</x:v>
      </x:c>
      <x:c r="M56" s="14" t="str">
        <x:v>Contribuição mensal</x:v>
      </x:c>
      <x:c r="N56" s="14" t="str">
        <x:v>Proteção/frequência</x:v>
      </x:c>
      <x:c r="O56" s="14" t="str">
        <x:v>Impacto sugerido</x:v>
      </x:c>
      <x:c r="P56" s="29"/>
      <x:c r="Q56" s="29"/>
      <x:c r="R56" s="29"/>
    </x:row>
    <x:row r="57">
      <x:c r="A57" s="68" t="str">
        <x:v>ABC1D23</x:v>
      </x:c>
      <x:c r="B57" s="68" t="str">
        <x:v>Mantido</x:v>
      </x:c>
      <x:c r="C57" s="68" t="str">
        <x:v>Investidor Alfa</x:v>
      </x:c>
      <x:c r="D57" s="68" t="str">
        <x:v>Não</x:v>
      </x:c>
      <x:c r="E57" s="80" t="n">
        <x:v>70000</x:v>
      </x:c>
      <x:c r="F57" s="80" t="str">
        <x:v>Sim</x:v>
      </x:c>
      <x:c r="G57" s="80" t="n">
        <x:v>70000</x:v>
      </x:c>
      <x:c r="H57" s="79" t="n">
        <x:v>0.005</x:v>
      </x:c>
      <x:c r="I57" s="80" t="n">
        <x:v>199.96</x:v>
      </x:c>
      <x:c r="J57" s="80" t="n">
        <x:v>0</x:v>
      </x:c>
      <x:c r="K57" s="80" t="n">
        <x:v>0</x:v>
      </x:c>
      <x:c r="L57" s="80" t="n">
        <x:v>0</x:v>
      </x:c>
      <x:c r="M57" s="85" t="n">
        <x:f>IF(F57&lt;&gt;"Sim",0,ROUND(MAX(I57,G57*H57)+J57+K57+L57,2))</x:f>
        <x:v>350</x:v>
      </x:c>
      <x:c r="N57" s="85" t="n">
        <x:f>IF(F57&lt;&gt;"Sim",0,ROUND(M57/IF($C$8="Mensal",1,IF($C$8="Quinzenal",2,IF($C$8="Semanal",4,28))),2))</x:f>
        <x:v>87.5</x:v>
      </x:c>
      <x:c r="O57" s="85" t="n">
        <x:f>IF(B57="Acrescentado",E57,IF(B57="Retirado",-E57,0))</x:f>
        <x:v>0</x:v>
      </x:c>
      <x:c r="P57" s="29"/>
      <x:c r="Q57" s="29"/>
      <x:c r="R57" s="29"/>
    </x:row>
    <x:row r="58">
      <x:c r="A58" s="68" t="str">
        <x:v>XYZ9Z99</x:v>
      </x:c>
      <x:c r="B58" s="68" t="str">
        <x:v>Acrescentado</x:v>
      </x:c>
      <x:c r="C58" s="68" t="str">
        <x:v>Investidor Alfa</x:v>
      </x:c>
      <x:c r="D58" s="68" t="str">
        <x:v>Sim</x:v>
      </x:c>
      <x:c r="E58" s="80" t="n">
        <x:v>80000</x:v>
      </x:c>
      <x:c r="F58" s="80" t="str">
        <x:v>Sim</x:v>
      </x:c>
      <x:c r="G58" s="80" t="n">
        <x:v>80000</x:v>
      </x:c>
      <x:c r="H58" s="79" t="n">
        <x:v>0.005</x:v>
      </x:c>
      <x:c r="I58" s="80" t="n">
        <x:v>199.96</x:v>
      </x:c>
      <x:c r="J58" s="80" t="n">
        <x:v>0</x:v>
      </x:c>
      <x:c r="K58" s="80" t="n">
        <x:v>0</x:v>
      </x:c>
      <x:c r="L58" s="80" t="n">
        <x:v>0</x:v>
      </x:c>
      <x:c r="M58" s="85" t="n">
        <x:f>IF(F58&lt;&gt;"Sim",0,ROUND(MAX(I58,G58*H58)+J58+K58+L58,2))</x:f>
        <x:v>400</x:v>
      </x:c>
      <x:c r="N58" s="85" t="n">
        <x:f>IF(F58&lt;&gt;"Sim",0,ROUND(M58/IF($C$8="Mensal",1,IF($C$8="Quinzenal",2,IF($C$8="Semanal",4,28))),2))</x:f>
        <x:v>100</x:v>
      </x:c>
      <x:c r="O58" s="85" t="n">
        <x:f>IF(B58="Acrescentado",E58,IF(B58="Retirado",-E58,0))</x:f>
        <x:v>80000</x:v>
      </x:c>
      <x:c r="P58" s="29"/>
      <x:c r="Q58" s="29"/>
      <x:c r="R58" s="29"/>
    </x:row>
    <x:row r="59">
      <x:c r="A59" s="68" t="str">
        <x:v>OLD0A00</x:v>
      </x:c>
      <x:c r="B59" s="68" t="str">
        <x:v>Retirado</x:v>
      </x:c>
      <x:c r="C59" s="68" t="str">
        <x:v>Investidor Alfa</x:v>
      </x:c>
      <x:c r="D59" s="68" t="str">
        <x:v>Não</x:v>
      </x:c>
      <x:c r="E59" s="80" t="n">
        <x:v>75000</x:v>
      </x:c>
      <x:c r="F59" s="80" t="str">
        <x:v>Não</x:v>
      </x:c>
      <x:c r="G59" s="80" t="n">
        <x:v>75000</x:v>
      </x:c>
      <x:c r="H59" s="79" t="n">
        <x:v>0</x:v>
      </x:c>
      <x:c r="I59" s="80" t="n">
        <x:v>0</x:v>
      </x:c>
      <x:c r="J59" s="80" t="n">
        <x:v>0</x:v>
      </x:c>
      <x:c r="K59" s="80" t="n">
        <x:v>0</x:v>
      </x:c>
      <x:c r="L59" s="80" t="n">
        <x:v>0</x:v>
      </x:c>
      <x:c r="M59" s="85" t="n">
        <x:f>IF(F59&lt;&gt;"Sim",0,ROUND(MAX(I59,G59*H59)+J59+K59+L59,2))</x:f>
        <x:v>0</x:v>
      </x:c>
      <x:c r="N59" s="85" t="n">
        <x:f>IF(F59&lt;&gt;"Sim",0,ROUND(M59/IF($C$8="Mensal",1,IF($C$8="Quinzenal",2,IF($C$8="Semanal",4,28))),2))</x:f>
        <x:v>0</x:v>
      </x:c>
      <x:c r="O59" s="85" t="n">
        <x:f>IF(B59="Acrescentado",E59,IF(B59="Retirado",-E59,0))</x:f>
        <x:v>-75000</x:v>
      </x:c>
      <x:c r="P59" s="29"/>
      <x:c r="Q59" s="29"/>
      <x:c r="R59" s="29"/>
    </x:row>
    <x:row r="60">
      <x:c r="A60" s="68" t="str"/>
      <x:c r="B60" s="68" t="str">
        <x:v>Mantido</x:v>
      </x:c>
      <x:c r="C60" s="68" t="str"/>
      <x:c r="D60" s="68" t="str">
        <x:v>Não</x:v>
      </x:c>
      <x:c r="E60" s="80" t="n">
        <x:v>0</x:v>
      </x:c>
      <x:c r="F60" s="80" t="str">
        <x:v>Não</x:v>
      </x:c>
      <x:c r="G60" s="80" t="n">
        <x:v>0</x:v>
      </x:c>
      <x:c r="H60" s="79" t="n">
        <x:v>0</x:v>
      </x:c>
      <x:c r="I60" s="80" t="n">
        <x:v>0</x:v>
      </x:c>
      <x:c r="J60" s="80" t="n">
        <x:v>0</x:v>
      </x:c>
      <x:c r="K60" s="80" t="n">
        <x:v>0</x:v>
      </x:c>
      <x:c r="L60" s="80" t="n">
        <x:v>0</x:v>
      </x:c>
      <x:c r="M60" s="85" t="n">
        <x:f>IF(F60&lt;&gt;"Sim",0,ROUND(MAX(I60,G60*H60)+J60+K60+L60,2))</x:f>
        <x:v>0</x:v>
      </x:c>
      <x:c r="N60" s="85" t="n">
        <x:f>IF(F60&lt;&gt;"Sim",0,ROUND(M60/IF($C$8="Mensal",1,IF($C$8="Quinzenal",2,IF($C$8="Semanal",4,28))),2))</x:f>
        <x:v>0</x:v>
      </x:c>
      <x:c r="O60" s="85" t="n">
        <x:f>IF(B60="Acrescentado",E60,IF(B60="Retirado",-E60,0))</x:f>
        <x:v>0</x:v>
      </x:c>
      <x:c r="P60" s="29"/>
      <x:c r="Q60" s="29"/>
      <x:c r="R60" s="29"/>
    </x:row>
    <x:row r="61">
      <x:c r="A61" s="68" t="str"/>
      <x:c r="B61" s="68" t="str">
        <x:v>Mantido</x:v>
      </x:c>
      <x:c r="C61" s="68" t="str"/>
      <x:c r="D61" s="68" t="str">
        <x:v>Não</x:v>
      </x:c>
      <x:c r="E61" s="80" t="n">
        <x:v>0</x:v>
      </x:c>
      <x:c r="F61" s="80" t="str">
        <x:v>Não</x:v>
      </x:c>
      <x:c r="G61" s="80" t="n">
        <x:v>0</x:v>
      </x:c>
      <x:c r="H61" s="79" t="n">
        <x:v>0</x:v>
      </x:c>
      <x:c r="I61" s="80" t="n">
        <x:v>0</x:v>
      </x:c>
      <x:c r="J61" s="80" t="n">
        <x:v>0</x:v>
      </x:c>
      <x:c r="K61" s="80" t="n">
        <x:v>0</x:v>
      </x:c>
      <x:c r="L61" s="80" t="n">
        <x:v>0</x:v>
      </x:c>
      <x:c r="M61" s="85" t="n">
        <x:f>IF(F61&lt;&gt;"Sim",0,ROUND(MAX(I61,G61*H61)+J61+K61+L61,2))</x:f>
        <x:v>0</x:v>
      </x:c>
      <x:c r="N61" s="85" t="n">
        <x:f>IF(F61&lt;&gt;"Sim",0,ROUND(M61/IF($C$8="Mensal",1,IF($C$8="Quinzenal",2,IF($C$8="Semanal",4,28))),2))</x:f>
        <x:v>0</x:v>
      </x:c>
      <x:c r="O61" s="85" t="n">
        <x:f>IF(B61="Acrescentado",E61,IF(B61="Retirado",-E61,0))</x:f>
        <x:v>0</x:v>
      </x:c>
      <x:c r="P61" s="29"/>
      <x:c r="Q61" s="29"/>
      <x:c r="R61" s="29"/>
    </x:row>
    <x:row r="62">
      <x:c r="A62" s="68" t="str"/>
      <x:c r="B62" s="68" t="str">
        <x:v>Mantido</x:v>
      </x:c>
      <x:c r="C62" s="68" t="str"/>
      <x:c r="D62" s="68" t="str">
        <x:v>Não</x:v>
      </x:c>
      <x:c r="E62" s="80" t="n">
        <x:v>0</x:v>
      </x:c>
      <x:c r="F62" s="80" t="str">
        <x:v>Não</x:v>
      </x:c>
      <x:c r="G62" s="80" t="n">
        <x:v>0</x:v>
      </x:c>
      <x:c r="H62" s="79" t="n">
        <x:v>0</x:v>
      </x:c>
      <x:c r="I62" s="80" t="n">
        <x:v>0</x:v>
      </x:c>
      <x:c r="J62" s="80" t="n">
        <x:v>0</x:v>
      </x:c>
      <x:c r="K62" s="80" t="n">
        <x:v>0</x:v>
      </x:c>
      <x:c r="L62" s="80" t="n">
        <x:v>0</x:v>
      </x:c>
      <x:c r="M62" s="85" t="n">
        <x:f>IF(F62&lt;&gt;"Sim",0,ROUND(MAX(I62,G62*H62)+J62+K62+L62,2))</x:f>
        <x:v>0</x:v>
      </x:c>
      <x:c r="N62" s="85" t="n">
        <x:f>IF(F62&lt;&gt;"Sim",0,ROUND(M62/IF($C$8="Mensal",1,IF($C$8="Quinzenal",2,IF($C$8="Semanal",4,28))),2))</x:f>
        <x:v>0</x:v>
      </x:c>
      <x:c r="O62" s="85" t="n">
        <x:f>IF(B62="Acrescentado",E62,IF(B62="Retirado",-E62,0))</x:f>
        <x:v>0</x:v>
      </x:c>
      <x:c r="P62" s="29"/>
      <x:c r="Q62" s="29"/>
      <x:c r="R62" s="29"/>
    </x:row>
    <x:row r="63">
      <x:c r="A63" s="68" t="str"/>
      <x:c r="B63" s="68" t="str">
        <x:v>Mantido</x:v>
      </x:c>
      <x:c r="C63" s="68" t="str"/>
      <x:c r="D63" s="68" t="str">
        <x:v>Não</x:v>
      </x:c>
      <x:c r="E63" s="80" t="n">
        <x:v>0</x:v>
      </x:c>
      <x:c r="F63" s="80" t="str">
        <x:v>Não</x:v>
      </x:c>
      <x:c r="G63" s="80" t="n">
        <x:v>0</x:v>
      </x:c>
      <x:c r="H63" s="79" t="n">
        <x:v>0</x:v>
      </x:c>
      <x:c r="I63" s="80" t="n">
        <x:v>0</x:v>
      </x:c>
      <x:c r="J63" s="80" t="n">
        <x:v>0</x:v>
      </x:c>
      <x:c r="K63" s="80" t="n">
        <x:v>0</x:v>
      </x:c>
      <x:c r="L63" s="80" t="n">
        <x:v>0</x:v>
      </x:c>
      <x:c r="M63" s="85" t="n">
        <x:f>IF(F63&lt;&gt;"Sim",0,ROUND(MAX(I63,G63*H63)+J63+K63+L63,2))</x:f>
        <x:v>0</x:v>
      </x:c>
      <x:c r="N63" s="85" t="n">
        <x:f>IF(F63&lt;&gt;"Sim",0,ROUND(M63/IF($C$8="Mensal",1,IF($C$8="Quinzenal",2,IF($C$8="Semanal",4,28))),2))</x:f>
        <x:v>0</x:v>
      </x:c>
      <x:c r="O63" s="85" t="n">
        <x:f>IF(B63="Acrescentado",E63,IF(B63="Retirado",-E63,0))</x:f>
        <x:v>0</x:v>
      </x:c>
      <x:c r="P63" s="29"/>
      <x:c r="Q63" s="29"/>
      <x:c r="R63" s="29"/>
    </x:row>
    <x:row r="64">
      <x:c r="A64" s="68" t="str"/>
      <x:c r="B64" s="68" t="str">
        <x:v>Mantido</x:v>
      </x:c>
      <x:c r="C64" s="68" t="str"/>
      <x:c r="D64" s="68" t="str">
        <x:v>Não</x:v>
      </x:c>
      <x:c r="E64" s="80" t="n">
        <x:v>0</x:v>
      </x:c>
      <x:c r="F64" s="80" t="str">
        <x:v>Não</x:v>
      </x:c>
      <x:c r="G64" s="80" t="n">
        <x:v>0</x:v>
      </x:c>
      <x:c r="H64" s="79" t="n">
        <x:v>0</x:v>
      </x:c>
      <x:c r="I64" s="80" t="n">
        <x:v>0</x:v>
      </x:c>
      <x:c r="J64" s="80" t="n">
        <x:v>0</x:v>
      </x:c>
      <x:c r="K64" s="80" t="n">
        <x:v>0</x:v>
      </x:c>
      <x:c r="L64" s="80" t="n">
        <x:v>0</x:v>
      </x:c>
      <x:c r="M64" s="85" t="n">
        <x:f>IF(F64&lt;&gt;"Sim",0,ROUND(MAX(I64,G64*H64)+J64+K64+L64,2))</x:f>
        <x:v>0</x:v>
      </x:c>
      <x:c r="N64" s="85" t="n">
        <x:f>IF(F64&lt;&gt;"Sim",0,ROUND(M64/IF($C$8="Mensal",1,IF($C$8="Quinzenal",2,IF($C$8="Semanal",4,28))),2))</x:f>
        <x:v>0</x:v>
      </x:c>
      <x:c r="O64" s="85" t="n">
        <x:f>IF(B64="Acrescentado",E64,IF(B64="Retirado",-E64,0))</x:f>
        <x:v>0</x:v>
      </x:c>
      <x:c r="P64" s="29"/>
      <x:c r="Q64" s="29"/>
      <x:c r="R64" s="29"/>
    </x:row>
    <x:row r="65">
      <x:c r="A65" s="66" t="str">
        <x:v>Nota: substituições devem ser refletidas no ajuste manual AA e explicadas no parecer. O impacto sugerido automatiza apenas ativos Acrescentados e Retirados.</x:v>
      </x:c>
      <x:c r="B65" s="66" t="str">
        <x:v>Nota: substituições devem ser refletidas no ajuste manual AA e explicadas no parecer. O impacto sugerido automatiza apenas ativos Acrescentados e Retirados.</x:v>
      </x:c>
      <x:c r="C65" s="66" t="str">
        <x:v>Nota: substituições devem ser refletidas no ajuste manual AA e explicadas no parecer. O impacto sugerido automatiza apenas ativos Acrescentados e Retirados.</x:v>
      </x:c>
      <x:c r="D65" s="66" t="str">
        <x:v>Nota: substituições devem ser refletidas no ajuste manual AA e explicadas no parecer. O impacto sugerido automatiza apenas ativos Acrescentados e Retirados.</x:v>
      </x:c>
      <x:c r="E65" s="66" t="str">
        <x:v>Nota: substituições devem ser refletidas no ajuste manual AA e explicadas no parecer. O impacto sugerido automatiza apenas ativos Acrescentados e Retirados.</x:v>
      </x:c>
      <x:c r="F65" s="66" t="str">
        <x:v>Nota: substituições devem ser refletidas no ajuste manual AA e explicadas no parecer. O impacto sugerido automatiza apenas ativos Acrescentados e Retirados.</x:v>
      </x:c>
      <x:c r="G65" s="66" t="str">
        <x:v>Nota: substituições devem ser refletidas no ajuste manual AA e explicadas no parecer. O impacto sugerido automatiza apenas ativos Acrescentados e Retirados.</x:v>
      </x:c>
      <x:c r="H65" s="66" t="str">
        <x:v>Nota: substituições devem ser refletidas no ajuste manual AA e explicadas no parecer. O impacto sugerido automatiza apenas ativos Acrescentados e Retirados.</x:v>
      </x:c>
      <x:c r="I65" s="66" t="str">
        <x:v>Nota: substituições devem ser refletidas no ajuste manual AA e explicadas no parecer. O impacto sugerido automatiza apenas ativos Acrescentados e Retirados.</x:v>
      </x:c>
      <x:c r="J65" s="66" t="str">
        <x:v>Nota: substituições devem ser refletidas no ajuste manual AA e explicadas no parecer. O impacto sugerido automatiza apenas ativos Acrescentados e Retirados.</x:v>
      </x:c>
      <x:c r="K65" s="66" t="str">
        <x:v>Nota: substituições devem ser refletidas no ajuste manual AA e explicadas no parecer. O impacto sugerido automatiza apenas ativos Acrescentados e Retirados.</x:v>
      </x:c>
      <x:c r="L65" s="66" t="str">
        <x:v>Nota: substituições devem ser refletidas no ajuste manual AA e explicadas no parecer. O impacto sugerido automatiza apenas ativos Acrescentados e Retirados.</x:v>
      </x:c>
      <x:c r="M65" s="66" t="str">
        <x:v>Nota: substituições devem ser refletidas no ajuste manual AA e explicadas no parecer. O impacto sugerido automatiza apenas ativos Acrescentados e Retirados.</x:v>
      </x:c>
      <x:c r="N65" s="66" t="str">
        <x:v>Nota: substituições devem ser refletidas no ajuste manual AA e explicadas no parecer. O impacto sugerido automatiza apenas ativos Acrescentados e Retirados.</x:v>
      </x:c>
      <x:c r="O65" s="66" t="str">
        <x:v>Nota: substituições devem ser refletidas no ajuste manual AA e explicadas no parecer. O impacto sugerido automatiza apenas ativos Acrescentados e Retirados.</x:v>
      </x:c>
      <x:c r="P65" s="29"/>
      <x:c r="Q65" s="29"/>
      <x:c r="R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</x:row>
    <x:row r="67" ht="20" customHeight="1">
      <x:c r="A67" s="34" t="str">
        <x:v>4. RESUMO DE CESSÃO / LIQUIDAÇÃO INTERENTIDADES</x:v>
      </x:c>
      <x:c r="B67" s="34" t="str">
        <x:v>4. RESUMO DE CESSÃO / LIQUIDAÇÃO INTERENTIDADES</x:v>
      </x:c>
      <x:c r="C67" s="34" t="str">
        <x:v>4. RESUMO DE CESSÃO / LIQUIDAÇÃO INTERENTIDADES</x:v>
      </x:c>
      <x:c r="D67" s="34" t="str">
        <x:v>4. RESUMO DE CESSÃO / LIQUIDAÇÃO INTERENTIDADES</x:v>
      </x:c>
      <x:c r="E67" s="34" t="str">
        <x:v>4. RESUMO DE CESSÃO / LIQUIDAÇÃO INTERENTIDADES</x:v>
      </x:c>
      <x:c r="F67" s="34" t="str">
        <x:v>4. RESUMO DE CESSÃO / LIQUIDAÇÃO INTERENTIDADES</x:v>
      </x:c>
      <x:c r="G67" s="34" t="str">
        <x:v>4. RESUMO DE CESSÃO / LIQUIDAÇÃO INTERENTIDADES</x:v>
      </x:c>
      <x:c r="H67" s="34" t="str">
        <x:v>4. RESUMO DE CESSÃO / LIQUIDAÇÃO INTERENTIDADES</x:v>
      </x:c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</x:row>
    <x:row r="68">
      <x:c r="A68" s="14" t="str">
        <x:v>Entidade de origem</x:v>
      </x:c>
      <x:c r="B68" s="14" t="str">
        <x:v>Valor bruto origem</x:v>
      </x:c>
      <x:c r="C68" s="14" t="str">
        <x:v>Desconto</x:v>
      </x:c>
      <x:c r="D68" s="14" t="str">
        <x:v>Valor líquido</x:v>
      </x:c>
      <x:c r="E68" s="14" t="str">
        <x:v>Novo credor?</x:v>
      </x:c>
      <x:c r="F68" s="14" t="str">
        <x:v>A liquidar interentidades</x:v>
      </x:c>
      <x:c r="G68" s="14" t="str">
        <x:v>Status</x:v>
      </x:c>
      <x:c r="H68" s="14" t="str">
        <x:v>Observação</x:v>
      </x:c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</x:row>
    <x:row r="69">
      <x:c r="A69" s="68" t="str">
        <x:v>Investidor Alfa</x:v>
      </x:c>
      <x:c r="B69" s="85" t="n">
        <x:f>IF(A69="",0,SUMIF($D$33:$D$52,A69,$O$33:$O$52))</x:f>
        <x:v>5248.639999999999</x:v>
      </x:c>
      <x:c r="C69" s="85" t="n">
        <x:f>IF(A69="",0,SUMIF($D$33:$D$52,A69,$P$33:$P$52))</x:f>
        <x:v>104.97</x:v>
      </x:c>
      <x:c r="D69" s="85" t="n">
        <x:f>IF(A69="",0,B69-C69)</x:f>
        <x:v>5143.669999999999</x:v>
      </x:c>
      <x:c r="E69" s="85" t="str">
        <x:f>IF(A69="","",IF(A69=$I$28,"Sim","Não"))</x:f>
        <x:v>Sim</x:v>
      </x:c>
      <x:c r="F69" s="85" t="n">
        <x:f>IF(A69="",0,IF(E69="Sim",0,D69))</x:f>
        <x:v>0</x:v>
      </x:c>
      <x:c r="G69" s="29" t="str">
        <x:v>Calculada</x:v>
      </x:c>
      <x:c r="H69" s="29" t="str">
        <x:v>Exemplo</x:v>
      </x:c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</x:row>
    <x:row r="70">
      <x:c r="A70" s="68" t="str">
        <x:v>Azit Move</x:v>
      </x:c>
      <x:c r="B70" s="85" t="n">
        <x:f>IF(A70="",0,SUMIF($D$33:$D$52,A70,$O$33:$O$52))</x:f>
        <x:v>2161.02</x:v>
      </x:c>
      <x:c r="C70" s="85" t="n">
        <x:f>IF(A70="",0,SUMIF($D$33:$D$52,A70,$P$33:$P$52))</x:f>
        <x:v>43.21</x:v>
      </x:c>
      <x:c r="D70" s="85" t="n">
        <x:f>IF(A70="",0,B70-C70)</x:f>
        <x:v>2117.81</x:v>
      </x:c>
      <x:c r="E70" s="85" t="str">
        <x:f>IF(A70="","",IF(A70=$I$28,"Sim","Não"))</x:f>
        <x:v>Não</x:v>
      </x:c>
      <x:c r="F70" s="85" t="n">
        <x:f>IF(A70="",0,IF(E70="Sim",0,D70))</x:f>
        <x:v>2117.81</x:v>
      </x:c>
      <x:c r="G70" s="29" t="str">
        <x:v>Calculada</x:v>
      </x:c>
      <x:c r="H70" s="29" t="str">
        <x:v>Exemplo</x:v>
      </x:c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</x:row>
    <x:row r="71">
      <x:c r="A71" s="68" t="str"/>
      <x:c r="B71" s="85" t="n">
        <x:f>IF(A71="",0,SUMIF($D$33:$D$52,A71,$O$33:$O$52))</x:f>
        <x:v>0</x:v>
      </x:c>
      <x:c r="C71" s="85" t="n">
        <x:f>IF(A71="",0,SUMIF($D$33:$D$52,A71,$P$33:$P$52))</x:f>
        <x:v>0</x:v>
      </x:c>
      <x:c r="D71" s="85" t="n">
        <x:f>IF(A71="",0,B71-C71)</x:f>
        <x:v>0</x:v>
      </x:c>
      <x:c r="E71" s="85" t="str">
        <x:f>IF(A71="","",IF(A71=$I$28,"Sim","Não"))</x:f>
      </x:c>
      <x:c r="F71" s="85" t="n">
        <x:f>IF(A71="",0,IF(E71="Sim",0,D71))</x:f>
        <x:v>0</x:v>
      </x:c>
      <x:c r="G71" s="29" t="str">
        <x:v>Calculada</x:v>
      </x:c>
      <x:c r="H71" s="29" t="str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</x:row>
    <x:row r="72">
      <x:c r="A72" s="68" t="str"/>
      <x:c r="B72" s="85" t="n">
        <x:f>IF(A72="",0,SUMIF($D$33:$D$52,A72,$O$33:$O$52))</x:f>
        <x:v>0</x:v>
      </x:c>
      <x:c r="C72" s="85" t="n">
        <x:f>IF(A72="",0,SUMIF($D$33:$D$52,A72,$P$33:$P$52))</x:f>
        <x:v>0</x:v>
      </x:c>
      <x:c r="D72" s="85" t="n">
        <x:f>IF(A72="",0,B72-C72)</x:f>
        <x:v>0</x:v>
      </x:c>
      <x:c r="E72" s="85" t="str">
        <x:f>IF(A72="","",IF(A72=$I$28,"Sim","Não"))</x:f>
      </x:c>
      <x:c r="F72" s="85" t="n">
        <x:f>IF(A72="",0,IF(E72="Sim",0,D72))</x:f>
        <x:v>0</x:v>
      </x:c>
      <x:c r="G72" s="29" t="str">
        <x:v>Calculada</x:v>
      </x:c>
      <x:c r="H72" s="29" t="str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</x:row>
    <x:row r="73">
      <x:c r="A73" s="68" t="str"/>
      <x:c r="B73" s="85" t="n">
        <x:f>IF(A73="",0,SUMIF($D$33:$D$52,A73,$O$33:$O$52))</x:f>
        <x:v>0</x:v>
      </x:c>
      <x:c r="C73" s="85" t="n">
        <x:f>IF(A73="",0,SUMIF($D$33:$D$52,A73,$P$33:$P$52))</x:f>
        <x:v>0</x:v>
      </x:c>
      <x:c r="D73" s="85" t="n">
        <x:f>IF(A73="",0,B73-C73)</x:f>
        <x:v>0</x:v>
      </x:c>
      <x:c r="E73" s="85" t="str">
        <x:f>IF(A73="","",IF(A73=$I$28,"Sim","Não"))</x:f>
      </x:c>
      <x:c r="F73" s="85" t="n">
        <x:f>IF(A73="",0,IF(E73="Sim",0,D73))</x:f>
        <x:v>0</x:v>
      </x:c>
      <x:c r="G73" s="29" t="str">
        <x:v>Calculada</x:v>
      </x:c>
      <x:c r="H73" s="29" t="str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</x:row>
    <x:row r="75" ht="20" customHeight="1">
      <x:c r="A75" s="34" t="str">
        <x:v>5. PARECER ÚNICO DO OPERADOR / MEMÓRIA DE CÁLCULO</x:v>
      </x:c>
      <x:c r="B75" s="34" t="str">
        <x:v>5. PARECER ÚNICO DO OPERADOR / MEMÓRIA DE CÁLCULO</x:v>
      </x:c>
      <x:c r="C75" s="34" t="str">
        <x:v>5. PARECER ÚNICO DO OPERADOR / MEMÓRIA DE CÁLCULO</x:v>
      </x:c>
      <x:c r="D75" s="34" t="str">
        <x:v>5. PARECER ÚNICO DO OPERADOR / MEMÓRIA DE CÁLCULO</x:v>
      </x:c>
      <x:c r="E75" s="34" t="str">
        <x:v>5. PARECER ÚNICO DO OPERADOR / MEMÓRIA DE CÁLCULO</x:v>
      </x:c>
      <x:c r="F75" s="34" t="str">
        <x:v>5. PARECER ÚNICO DO OPERADOR / MEMÓRIA DE CÁLCULO</x:v>
      </x:c>
      <x:c r="G75" s="34" t="str">
        <x:v>5. PARECER ÚNICO DO OPERADOR / MEMÓRIA DE CÁLCULO</x:v>
      </x:c>
      <x:c r="H75" s="34" t="str">
        <x:v>5. PARECER ÚNICO DO OPERADOR / MEMÓRIA DE CÁLCULO</x:v>
      </x:c>
      <x:c r="I75" s="34" t="str">
        <x:v>5. PARECER ÚNICO DO OPERADOR / MEMÓRIA DE CÁLCULO</x:v>
      </x:c>
      <x:c r="J75" s="34" t="str">
        <x:v>5. PARECER ÚNICO DO OPERADOR / MEMÓRIA DE CÁLCULO</x:v>
      </x:c>
      <x:c r="K75" s="34" t="str">
        <x:v>5. PARECER ÚNICO DO OPERADOR / MEMÓRIA DE CÁLCULO</x:v>
      </x:c>
      <x:c r="L75" s="34" t="str">
        <x:v>5. PARECER ÚNICO DO OPERADOR / MEMÓRIA DE CÁLCULO</x:v>
      </x:c>
      <x:c r="M75" s="34" t="str">
        <x:v>5. PARECER ÚNICO DO OPERADOR / MEMÓRIA DE CÁLCULO</x:v>
      </x:c>
      <x:c r="N75" s="34" t="str">
        <x:v>5. PARECER ÚNICO DO OPERADOR / MEMÓRIA DE CÁLCULO</x:v>
      </x:c>
      <x:c r="O75" s="34" t="str">
        <x:v>5. PARECER ÚNICO DO OPERADOR / MEMÓRIA DE CÁLCULO</x:v>
      </x:c>
      <x:c r="P75" s="34" t="str">
        <x:v>5. PARECER ÚNICO DO OPERADOR / MEMÓRIA DE CÁLCULO</x:v>
      </x:c>
      <x:c r="Q75" s="34" t="str">
        <x:v>5. PARECER ÚNICO DO OPERADOR / MEMÓRIA DE CÁLCULO</x:v>
      </x:c>
      <x:c r="R75" s="34" t="str">
        <x:v>5. PARECER ÚNICO DO OPERADOR / MEMÓRIA DE CÁLCULO</x:v>
      </x:c>
    </x:row>
    <x:row r="76">
      <x:c r="A76" s="68" t="str">
        <x:v>Registrar a justificativa da Novação, memória do ajuste econômico de ativos, garantias, desconto, capacidade de pagamento, credores/cessões e recomendação ao CONAC.</x:v>
      </x:c>
      <x:c r="B76" s="68" t="str">
        <x:v>Registrar a justificativa da Novação, memória do ajuste econômico de ativos, garantias, desconto, capacidade de pagamento, credores/cessões e recomendação ao CONAC.</x:v>
      </x:c>
      <x:c r="C76" s="68" t="str">
        <x:v>Registrar a justificativa da Novação, memória do ajuste econômico de ativos, garantias, desconto, capacidade de pagamento, credores/cessões e recomendação ao CONAC.</x:v>
      </x:c>
      <x:c r="D76" s="68" t="str">
        <x:v>Registrar a justificativa da Novação, memória do ajuste econômico de ativos, garantias, desconto, capacidade de pagamento, credores/cessões e recomendação ao CONAC.</x:v>
      </x:c>
      <x:c r="E76" s="68" t="str">
        <x:v>Registrar a justificativa da Novação, memória do ajuste econômico de ativos, garantias, desconto, capacidade de pagamento, credores/cessões e recomendação ao CONAC.</x:v>
      </x:c>
      <x:c r="F76" s="68" t="str">
        <x:v>Registrar a justificativa da Novação, memória do ajuste econômico de ativos, garantias, desconto, capacidade de pagamento, credores/cessões e recomendação ao CONAC.</x:v>
      </x:c>
      <x:c r="G76" s="68" t="str">
        <x:v>Registrar a justificativa da Novação, memória do ajuste econômico de ativos, garantias, desconto, capacidade de pagamento, credores/cessões e recomendação ao CONAC.</x:v>
      </x:c>
      <x:c r="H76" s="68" t="str">
        <x:v>Registrar a justificativa da Novação, memória do ajuste econômico de ativos, garantias, desconto, capacidade de pagamento, credores/cessões e recomendação ao CONAC.</x:v>
      </x:c>
      <x:c r="I76" s="68" t="str">
        <x:v>Registrar a justificativa da Novação, memória do ajuste econômico de ativos, garantias, desconto, capacidade de pagamento, credores/cessões e recomendação ao CONAC.</x:v>
      </x:c>
      <x:c r="J76" s="68" t="str">
        <x:v>Registrar a justificativa da Novação, memória do ajuste econômico de ativos, garantias, desconto, capacidade de pagamento, credores/cessões e recomendação ao CONAC.</x:v>
      </x:c>
      <x:c r="K76" s="68" t="str">
        <x:v>Registrar a justificativa da Novação, memória do ajuste econômico de ativos, garantias, desconto, capacidade de pagamento, credores/cessões e recomendação ao CONAC.</x:v>
      </x:c>
      <x:c r="L76" s="68" t="str">
        <x:v>Registrar a justificativa da Novação, memória do ajuste econômico de ativos, garantias, desconto, capacidade de pagamento, credores/cessões e recomendação ao CONAC.</x:v>
      </x:c>
      <x:c r="M76" s="68" t="str">
        <x:v>Registrar a justificativa da Novação, memória do ajuste econômico de ativos, garantias, desconto, capacidade de pagamento, credores/cessões e recomendação ao CONAC.</x:v>
      </x:c>
      <x:c r="N76" s="68" t="str">
        <x:v>Registrar a justificativa da Novação, memória do ajuste econômico de ativos, garantias, desconto, capacidade de pagamento, credores/cessões e recomendação ao CONAC.</x:v>
      </x:c>
      <x:c r="O76" s="68" t="str">
        <x:v>Registrar a justificativa da Novação, memória do ajuste econômico de ativos, garantias, desconto, capacidade de pagamento, credores/cessões e recomendação ao CONAC.</x:v>
      </x:c>
      <x:c r="P76" s="68" t="str">
        <x:v>Registrar a justificativa da Novação, memória do ajuste econômico de ativos, garantias, desconto, capacidade de pagamento, credores/cessões e recomendação ao CONAC.</x:v>
      </x:c>
      <x:c r="Q76" s="68" t="str">
        <x:v>Registrar a justificativa da Novação, memória do ajuste econômico de ativos, garantias, desconto, capacidade de pagamento, credores/cessões e recomendação ao CONAC.</x:v>
      </x:c>
      <x:c r="R76" s="68" t="str">
        <x:v>Registrar a justificativa da Novação, memória do ajuste econômico de ativos, garantias, desconto, capacidade de pagamento, credores/cessões e recomendação ao CONAC.</x:v>
      </x:c>
    </x:row>
    <x:row r="77">
      <x:c r="A77" s="68" t="str">
        <x:v>Registrar a justificativa da Novação, memória do ajuste econômico de ativos, garantias, desconto, capacidade de pagamento, credores/cessões e recomendação ao CONAC.</x:v>
      </x:c>
      <x:c r="B77" s="68" t="str">
        <x:v>Registrar a justificativa da Novação, memória do ajuste econômico de ativos, garantias, desconto, capacidade de pagamento, credores/cessões e recomendação ao CONAC.</x:v>
      </x:c>
      <x:c r="C77" s="68" t="str">
        <x:v>Registrar a justificativa da Novação, memória do ajuste econômico de ativos, garantias, desconto, capacidade de pagamento, credores/cessões e recomendação ao CONAC.</x:v>
      </x:c>
      <x:c r="D77" s="68" t="str">
        <x:v>Registrar a justificativa da Novação, memória do ajuste econômico de ativos, garantias, desconto, capacidade de pagamento, credores/cessões e recomendação ao CONAC.</x:v>
      </x:c>
      <x:c r="E77" s="68" t="str">
        <x:v>Registrar a justificativa da Novação, memória do ajuste econômico de ativos, garantias, desconto, capacidade de pagamento, credores/cessões e recomendação ao CONAC.</x:v>
      </x:c>
      <x:c r="F77" s="68" t="str">
        <x:v>Registrar a justificativa da Novação, memória do ajuste econômico de ativos, garantias, desconto, capacidade de pagamento, credores/cessões e recomendação ao CONAC.</x:v>
      </x:c>
      <x:c r="G77" s="68" t="str">
        <x:v>Registrar a justificativa da Novação, memória do ajuste econômico de ativos, garantias, desconto, capacidade de pagamento, credores/cessões e recomendação ao CONAC.</x:v>
      </x:c>
      <x:c r="H77" s="68" t="str">
        <x:v>Registrar a justificativa da Novação, memória do ajuste econômico de ativos, garantias, desconto, capacidade de pagamento, credores/cessões e recomendação ao CONAC.</x:v>
      </x:c>
      <x:c r="I77" s="68" t="str">
        <x:v>Registrar a justificativa da Novação, memória do ajuste econômico de ativos, garantias, desconto, capacidade de pagamento, credores/cessões e recomendação ao CONAC.</x:v>
      </x:c>
      <x:c r="J77" s="68" t="str">
        <x:v>Registrar a justificativa da Novação, memória do ajuste econômico de ativos, garantias, desconto, capacidade de pagamento, credores/cessões e recomendação ao CONAC.</x:v>
      </x:c>
      <x:c r="K77" s="68" t="str">
        <x:v>Registrar a justificativa da Novação, memória do ajuste econômico de ativos, garantias, desconto, capacidade de pagamento, credores/cessões e recomendação ao CONAC.</x:v>
      </x:c>
      <x:c r="L77" s="68" t="str">
        <x:v>Registrar a justificativa da Novação, memória do ajuste econômico de ativos, garantias, desconto, capacidade de pagamento, credores/cessões e recomendação ao CONAC.</x:v>
      </x:c>
      <x:c r="M77" s="68" t="str">
        <x:v>Registrar a justificativa da Novação, memória do ajuste econômico de ativos, garantias, desconto, capacidade de pagamento, credores/cessões e recomendação ao CONAC.</x:v>
      </x:c>
      <x:c r="N77" s="68" t="str">
        <x:v>Registrar a justificativa da Novação, memória do ajuste econômico de ativos, garantias, desconto, capacidade de pagamento, credores/cessões e recomendação ao CONAC.</x:v>
      </x:c>
      <x:c r="O77" s="68" t="str">
        <x:v>Registrar a justificativa da Novação, memória do ajuste econômico de ativos, garantias, desconto, capacidade de pagamento, credores/cessões e recomendação ao CONAC.</x:v>
      </x:c>
      <x:c r="P77" s="68" t="str">
        <x:v>Registrar a justificativa da Novação, memória do ajuste econômico de ativos, garantias, desconto, capacidade de pagamento, credores/cessões e recomendação ao CONAC.</x:v>
      </x:c>
      <x:c r="Q77" s="68" t="str">
        <x:v>Registrar a justificativa da Novação, memória do ajuste econômico de ativos, garantias, desconto, capacidade de pagamento, credores/cessões e recomendação ao CONAC.</x:v>
      </x:c>
      <x:c r="R77" s="68" t="str">
        <x:v>Registrar a justificativa da Novação, memória do ajuste econômico de ativos, garantias, desconto, capacidade de pagamento, credores/cessões e recomendação ao CONAC.</x:v>
      </x:c>
    </x:row>
    <x:row r="78">
      <x:c r="A78" s="68" t="str">
        <x:v>Registrar a justificativa da Novação, memória do ajuste econômico de ativos, garantias, desconto, capacidade de pagamento, credores/cessões e recomendação ao CONAC.</x:v>
      </x:c>
      <x:c r="B78" s="68" t="str">
        <x:v>Registrar a justificativa da Novação, memória do ajuste econômico de ativos, garantias, desconto, capacidade de pagamento, credores/cessões e recomendação ao CONAC.</x:v>
      </x:c>
      <x:c r="C78" s="68" t="str">
        <x:v>Registrar a justificativa da Novação, memória do ajuste econômico de ativos, garantias, desconto, capacidade de pagamento, credores/cessões e recomendação ao CONAC.</x:v>
      </x:c>
      <x:c r="D78" s="68" t="str">
        <x:v>Registrar a justificativa da Novação, memória do ajuste econômico de ativos, garantias, desconto, capacidade de pagamento, credores/cessões e recomendação ao CONAC.</x:v>
      </x:c>
      <x:c r="E78" s="68" t="str">
        <x:v>Registrar a justificativa da Novação, memória do ajuste econômico de ativos, garantias, desconto, capacidade de pagamento, credores/cessões e recomendação ao CONAC.</x:v>
      </x:c>
      <x:c r="F78" s="68" t="str">
        <x:v>Registrar a justificativa da Novação, memória do ajuste econômico de ativos, garantias, desconto, capacidade de pagamento, credores/cessões e recomendação ao CONAC.</x:v>
      </x:c>
      <x:c r="G78" s="68" t="str">
        <x:v>Registrar a justificativa da Novação, memória do ajuste econômico de ativos, garantias, desconto, capacidade de pagamento, credores/cessões e recomendação ao CONAC.</x:v>
      </x:c>
      <x:c r="H78" s="68" t="str">
        <x:v>Registrar a justificativa da Novação, memória do ajuste econômico de ativos, garantias, desconto, capacidade de pagamento, credores/cessões e recomendação ao CONAC.</x:v>
      </x:c>
      <x:c r="I78" s="68" t="str">
        <x:v>Registrar a justificativa da Novação, memória do ajuste econômico de ativos, garantias, desconto, capacidade de pagamento, credores/cessões e recomendação ao CONAC.</x:v>
      </x:c>
      <x:c r="J78" s="68" t="str">
        <x:v>Registrar a justificativa da Novação, memória do ajuste econômico de ativos, garantias, desconto, capacidade de pagamento, credores/cessões e recomendação ao CONAC.</x:v>
      </x:c>
      <x:c r="K78" s="68" t="str">
        <x:v>Registrar a justificativa da Novação, memória do ajuste econômico de ativos, garantias, desconto, capacidade de pagamento, credores/cessões e recomendação ao CONAC.</x:v>
      </x:c>
      <x:c r="L78" s="68" t="str">
        <x:v>Registrar a justificativa da Novação, memória do ajuste econômico de ativos, garantias, desconto, capacidade de pagamento, credores/cessões e recomendação ao CONAC.</x:v>
      </x:c>
      <x:c r="M78" s="68" t="str">
        <x:v>Registrar a justificativa da Novação, memória do ajuste econômico de ativos, garantias, desconto, capacidade de pagamento, credores/cessões e recomendação ao CONAC.</x:v>
      </x:c>
      <x:c r="N78" s="68" t="str">
        <x:v>Registrar a justificativa da Novação, memória do ajuste econômico de ativos, garantias, desconto, capacidade de pagamento, credores/cessões e recomendação ao CONAC.</x:v>
      </x:c>
      <x:c r="O78" s="68" t="str">
        <x:v>Registrar a justificativa da Novação, memória do ajuste econômico de ativos, garantias, desconto, capacidade de pagamento, credores/cessões e recomendação ao CONAC.</x:v>
      </x:c>
      <x:c r="P78" s="68" t="str">
        <x:v>Registrar a justificativa da Novação, memória do ajuste econômico de ativos, garantias, desconto, capacidade de pagamento, credores/cessões e recomendação ao CONAC.</x:v>
      </x:c>
      <x:c r="Q78" s="68" t="str">
        <x:v>Registrar a justificativa da Novação, memória do ajuste econômico de ativos, garantias, desconto, capacidade de pagamento, credores/cessões e recomendação ao CONAC.</x:v>
      </x:c>
      <x:c r="R78" s="68" t="str">
        <x:v>Registrar a justificativa da Novação, memória do ajuste econômico de ativos, garantias, desconto, capacidade de pagamento, credores/cessões e recomendação ao CONAC.</x:v>
      </x:c>
    </x:row>
    <x:row r="79">
      <x:c r="A79" s="68" t="str">
        <x:v>Registrar a justificativa da Novação, memória do ajuste econômico de ativos, garantias, desconto, capacidade de pagamento, credores/cessões e recomendação ao CONAC.</x:v>
      </x:c>
      <x:c r="B79" s="68" t="str">
        <x:v>Registrar a justificativa da Novação, memória do ajuste econômico de ativos, garantias, desconto, capacidade de pagamento, credores/cessões e recomendação ao CONAC.</x:v>
      </x:c>
      <x:c r="C79" s="68" t="str">
        <x:v>Registrar a justificativa da Novação, memória do ajuste econômico de ativos, garantias, desconto, capacidade de pagamento, credores/cessões e recomendação ao CONAC.</x:v>
      </x:c>
      <x:c r="D79" s="68" t="str">
        <x:v>Registrar a justificativa da Novação, memória do ajuste econômico de ativos, garantias, desconto, capacidade de pagamento, credores/cessões e recomendação ao CONAC.</x:v>
      </x:c>
      <x:c r="E79" s="68" t="str">
        <x:v>Registrar a justificativa da Novação, memória do ajuste econômico de ativos, garantias, desconto, capacidade de pagamento, credores/cessões e recomendação ao CONAC.</x:v>
      </x:c>
      <x:c r="F79" s="68" t="str">
        <x:v>Registrar a justificativa da Novação, memória do ajuste econômico de ativos, garantias, desconto, capacidade de pagamento, credores/cessões e recomendação ao CONAC.</x:v>
      </x:c>
      <x:c r="G79" s="68" t="str">
        <x:v>Registrar a justificativa da Novação, memória do ajuste econômico de ativos, garantias, desconto, capacidade de pagamento, credores/cessões e recomendação ao CONAC.</x:v>
      </x:c>
      <x:c r="H79" s="68" t="str">
        <x:v>Registrar a justificativa da Novação, memória do ajuste econômico de ativos, garantias, desconto, capacidade de pagamento, credores/cessões e recomendação ao CONAC.</x:v>
      </x:c>
      <x:c r="I79" s="68" t="str">
        <x:v>Registrar a justificativa da Novação, memória do ajuste econômico de ativos, garantias, desconto, capacidade de pagamento, credores/cessões e recomendação ao CONAC.</x:v>
      </x:c>
      <x:c r="J79" s="68" t="str">
        <x:v>Registrar a justificativa da Novação, memória do ajuste econômico de ativos, garantias, desconto, capacidade de pagamento, credores/cessões e recomendação ao CONAC.</x:v>
      </x:c>
      <x:c r="K79" s="68" t="str">
        <x:v>Registrar a justificativa da Novação, memória do ajuste econômico de ativos, garantias, desconto, capacidade de pagamento, credores/cessões e recomendação ao CONAC.</x:v>
      </x:c>
      <x:c r="L79" s="68" t="str">
        <x:v>Registrar a justificativa da Novação, memória do ajuste econômico de ativos, garantias, desconto, capacidade de pagamento, credores/cessões e recomendação ao CONAC.</x:v>
      </x:c>
      <x:c r="M79" s="68" t="str">
        <x:v>Registrar a justificativa da Novação, memória do ajuste econômico de ativos, garantias, desconto, capacidade de pagamento, credores/cessões e recomendação ao CONAC.</x:v>
      </x:c>
      <x:c r="N79" s="68" t="str">
        <x:v>Registrar a justificativa da Novação, memória do ajuste econômico de ativos, garantias, desconto, capacidade de pagamento, credores/cessões e recomendação ao CONAC.</x:v>
      </x:c>
      <x:c r="O79" s="68" t="str">
        <x:v>Registrar a justificativa da Novação, memória do ajuste econômico de ativos, garantias, desconto, capacidade de pagamento, credores/cessões e recomendação ao CONAC.</x:v>
      </x:c>
      <x:c r="P79" s="68" t="str">
        <x:v>Registrar a justificativa da Novação, memória do ajuste econômico de ativos, garantias, desconto, capacidade de pagamento, credores/cessões e recomendação ao CONAC.</x:v>
      </x:c>
      <x:c r="Q79" s="68" t="str">
        <x:v>Registrar a justificativa da Novação, memória do ajuste econômico de ativos, garantias, desconto, capacidade de pagamento, credores/cessões e recomendação ao CONAC.</x:v>
      </x:c>
      <x:c r="R79" s="68" t="str">
        <x:v>Registrar a justificativa da Novação, memória do ajuste econômico de ativos, garantias, desconto, capacidade de pagamento, credores/cessões e recomendação ao CONAC.</x:v>
      </x:c>
    </x:row>
    <x:row r="80">
      <x:c r="A80" s="68" t="str">
        <x:v>Registrar a justificativa da Novação, memória do ajuste econômico de ativos, garantias, desconto, capacidade de pagamento, credores/cessões e recomendação ao CONAC.</x:v>
      </x:c>
      <x:c r="B80" s="68" t="str">
        <x:v>Registrar a justificativa da Novação, memória do ajuste econômico de ativos, garantias, desconto, capacidade de pagamento, credores/cessões e recomendação ao CONAC.</x:v>
      </x:c>
      <x:c r="C80" s="68" t="str">
        <x:v>Registrar a justificativa da Novação, memória do ajuste econômico de ativos, garantias, desconto, capacidade de pagamento, credores/cessões e recomendação ao CONAC.</x:v>
      </x:c>
      <x:c r="D80" s="68" t="str">
        <x:v>Registrar a justificativa da Novação, memória do ajuste econômico de ativos, garantias, desconto, capacidade de pagamento, credores/cessões e recomendação ao CONAC.</x:v>
      </x:c>
      <x:c r="E80" s="68" t="str">
        <x:v>Registrar a justificativa da Novação, memória do ajuste econômico de ativos, garantias, desconto, capacidade de pagamento, credores/cessões e recomendação ao CONAC.</x:v>
      </x:c>
      <x:c r="F80" s="68" t="str">
        <x:v>Registrar a justificativa da Novação, memória do ajuste econômico de ativos, garantias, desconto, capacidade de pagamento, credores/cessões e recomendação ao CONAC.</x:v>
      </x:c>
      <x:c r="G80" s="68" t="str">
        <x:v>Registrar a justificativa da Novação, memória do ajuste econômico de ativos, garantias, desconto, capacidade de pagamento, credores/cessões e recomendação ao CONAC.</x:v>
      </x:c>
      <x:c r="H80" s="68" t="str">
        <x:v>Registrar a justificativa da Novação, memória do ajuste econômico de ativos, garantias, desconto, capacidade de pagamento, credores/cessões e recomendação ao CONAC.</x:v>
      </x:c>
      <x:c r="I80" s="68" t="str">
        <x:v>Registrar a justificativa da Novação, memória do ajuste econômico de ativos, garantias, desconto, capacidade de pagamento, credores/cessões e recomendação ao CONAC.</x:v>
      </x:c>
      <x:c r="J80" s="68" t="str">
        <x:v>Registrar a justificativa da Novação, memória do ajuste econômico de ativos, garantias, desconto, capacidade de pagamento, credores/cessões e recomendação ao CONAC.</x:v>
      </x:c>
      <x:c r="K80" s="68" t="str">
        <x:v>Registrar a justificativa da Novação, memória do ajuste econômico de ativos, garantias, desconto, capacidade de pagamento, credores/cessões e recomendação ao CONAC.</x:v>
      </x:c>
      <x:c r="L80" s="68" t="str">
        <x:v>Registrar a justificativa da Novação, memória do ajuste econômico de ativos, garantias, desconto, capacidade de pagamento, credores/cessões e recomendação ao CONAC.</x:v>
      </x:c>
      <x:c r="M80" s="68" t="str">
        <x:v>Registrar a justificativa da Novação, memória do ajuste econômico de ativos, garantias, desconto, capacidade de pagamento, credores/cessões e recomendação ao CONAC.</x:v>
      </x:c>
      <x:c r="N80" s="68" t="str">
        <x:v>Registrar a justificativa da Novação, memória do ajuste econômico de ativos, garantias, desconto, capacidade de pagamento, credores/cessões e recomendação ao CONAC.</x:v>
      </x:c>
      <x:c r="O80" s="68" t="str">
        <x:v>Registrar a justificativa da Novação, memória do ajuste econômico de ativos, garantias, desconto, capacidade de pagamento, credores/cessões e recomendação ao CONAC.</x:v>
      </x:c>
      <x:c r="P80" s="68" t="str">
        <x:v>Registrar a justificativa da Novação, memória do ajuste econômico de ativos, garantias, desconto, capacidade de pagamento, credores/cessões e recomendação ao CONAC.</x:v>
      </x:c>
      <x:c r="Q80" s="68" t="str">
        <x:v>Registrar a justificativa da Novação, memória do ajuste econômico de ativos, garantias, desconto, capacidade de pagamento, credores/cessões e recomendação ao CONAC.</x:v>
      </x:c>
      <x:c r="R80" s="68" t="str">
        <x:v>Registrar a justificativa da Novação, memória do ajuste econômico de ativos, garantias, desconto, capacidade de pagamento, credores/cessões e recomendação ao CONAC.</x:v>
      </x:c>
    </x:row>
  </x:sheetData>
  <x:mergeCells>
    <x:mergeCell ref="A1:R1"/>
    <x:mergeCell ref="A3:R3"/>
    <x:mergeCell ref="G4:R4"/>
    <x:mergeCell ref="A31:R31"/>
    <x:mergeCell ref="A55:O55"/>
    <x:mergeCell ref="A65:O65"/>
    <x:mergeCell ref="A67:H67"/>
    <x:mergeCell ref="A75:R75"/>
    <x:mergeCell ref="A76:R80"/>
  </x:mergeCells>
  <x:dataValidations count="9">
    <x:dataValidation type="list" sqref="C8">
      <x:formula1>"Mensal,Quinzenal,Semanal,Diária"</x:formula1>
    </x:dataValidation>
    <x:dataValidation type="list" sqref="C15">
      <x:formula1>"Sim,Não"</x:formula1>
    </x:dataValidation>
    <x:dataValidation type="list" sqref="A33:A52">
      <x:formula1>"Sim,Não"</x:formula1>
    </x:dataValidation>
    <x:dataValidation type="list" sqref="F33:F52">
      <x:formula1>"Vencida,Vincenda"</x:formula1>
    </x:dataValidation>
    <x:dataValidation type="list" sqref="M33:N52">
      <x:formula1>"Sim,Não"</x:formula1>
    </x:dataValidation>
    <x:dataValidation type="list" sqref="B57:B64">
      <x:formula1>"Mantido,Acrescentado,Retirado,Substituído"</x:formula1>
    </x:dataValidation>
    <x:dataValidation type="list" sqref="D57:D64">
      <x:formula1>"Sim,Não"</x:formula1>
    </x:dataValidation>
    <x:dataValidation type="list" sqref="F57:F64">
      <x:formula1>"Sim,Não"</x:formula1>
    </x:dataValidation>
    <x:dataValidation type="list" sqref="G69:G73">
      <x:formula1>"Calculada,Aguardando instrumento,Aguardando liquidação,Liquidada,Cancelada"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4" hidden="0" customWidth="1"/>
    <x:col min="5" max="5" width="50" hidden="0" customWidth="1"/>
  </x:cols>
  <x:sheetData>
    <x:row r="1">
      <x:c r="A1" s="28" t="str">
        <x:v>NOVAÇÃO DE CONTRATO — TERMOS E CLÁUSULAS PARA MINUTA</x:v>
      </x:c>
      <x:c r="B1" s="28" t="str">
        <x:v>NOVAÇÃO DE CONTRATO — TERMOS E CLÁUSULAS PARA MINUTA</x:v>
      </x:c>
      <x:c r="C1" s="28" t="str">
        <x:v>NOVAÇÃO DE CONTRATO — TERMOS E CLÁUSULAS PARA MINUTA</x:v>
      </x:c>
      <x:c r="D1" s="28" t="str">
        <x:v>NOVAÇÃO DE CONTRATO — TERMOS E CLÁUSULAS PARA MINUTA</x:v>
      </x:c>
      <x:c r="E1" s="28" t="str">
        <x:v>NOVAÇÃO DE CONTRATO — TERMOS E CLÁUSULAS PARA MINUTA</x:v>
      </x:c>
    </x:row>
    <x:row r="2">
      <x:c r="A2" s="66" t="str">
        <x:v>Esta aba consolida os termos de negócio para subsidiar a minuta contratual. O texto jurídico definitivo deve ser homologado pelo Jurídico da Azit Move.</x:v>
      </x:c>
      <x:c r="B2" s="66" t="str">
        <x:v>Esta aba consolida os termos de negócio para subsidiar a minuta contratual. O texto jurídico definitivo deve ser homologado pelo Jurídico da Azit Move.</x:v>
      </x:c>
      <x:c r="C2" s="66" t="str">
        <x:v>Esta aba consolida os termos de negócio para subsidiar a minuta contratual. O texto jurídico definitivo deve ser homologado pelo Jurídico da Azit Move.</x:v>
      </x:c>
      <x:c r="D2" s="66" t="str">
        <x:v>Esta aba consolida os termos de negócio para subsidiar a minuta contratual. O texto jurídico definitivo deve ser homologado pelo Jurídico da Azit Move.</x:v>
      </x:c>
      <x:c r="E2" s="66" t="str">
        <x:v>Esta aba consolida os termos de negócio para subsidiar a minuta contratual. O texto jurídico definitivo deve ser homologado pelo Jurídico da Azit Move.</x:v>
      </x:c>
    </x:row>
    <x:row r="3">
      <x:c r="A3" s="29"/>
      <x:c r="B3" s="29"/>
      <x:c r="C3" s="29"/>
      <x:c r="D3" s="29"/>
      <x:c r="E3" s="29"/>
    </x:row>
    <x:row r="4" ht="20" customHeight="1">
      <x:c r="A4" s="34" t="str">
        <x:v>1. IDENTIFICAÇÃO E CONDIÇÃO APROVADA</x:v>
      </x:c>
      <x:c r="B4" s="34" t="str">
        <x:v>1. IDENTIFICAÇÃO E CONDIÇÃO APROVADA</x:v>
      </x:c>
      <x:c r="C4" s="34" t="str">
        <x:v>1. IDENTIFICAÇÃO E CONDIÇÃO APROVADA</x:v>
      </x:c>
      <x:c r="D4" s="34" t="str">
        <x:v>1. IDENTIFICAÇÃO E CONDIÇÃO APROVADA</x:v>
      </x:c>
      <x:c r="E4" s="34" t="str">
        <x:v>1. IDENTIFICAÇÃO E CONDIÇÃO APROVADA</x:v>
      </x:c>
    </x:row>
    <x:row r="5">
      <x:c r="A5" s="14" t="str">
        <x:v>Descrição</x:v>
      </x:c>
      <x:c r="B5" s="14" t="str">
        <x:v>Símbolo</x:v>
      </x:c>
      <x:c r="C5" s="14" t="str">
        <x:v>Valor</x:v>
      </x:c>
      <x:c r="D5" s="14" t="str">
        <x:v>Unidade</x:v>
      </x:c>
      <x:c r="E5" s="14" t="str">
        <x:v>Observação / fonte</x:v>
      </x:c>
    </x:row>
    <x:row r="6">
      <x:c r="A6" s="29" t="str">
        <x:v>Cliente</x:v>
      </x:c>
      <x:c r="B6" s="29" t="str">
        <x:v>CLI</x:v>
      </x:c>
      <x:c r="C6" s="108" t="str">
        <x:f>Simulador!$C$6</x:f>
        <x:v>Cliente Exemplo</x:v>
      </x:c>
      <x:c r="D6" s="29" t="str"/>
      <x:c r="E6" s="29" t="str">
        <x:v>Simulador</x:v>
      </x:c>
    </x:row>
    <x:row r="7">
      <x:c r="A7" s="29" t="str">
        <x:v>CPF/CNPJ</x:v>
      </x:c>
      <x:c r="B7" s="29" t="str">
        <x:v>DOC</x:v>
      </x:c>
      <x:c r="C7" s="108" t="str">
        <x:f>Simulador!$C$7</x:f>
        <x:v>000.000.000-00</x:v>
      </x:c>
      <x:c r="D7" s="29" t="str"/>
      <x:c r="E7" s="29" t="str">
        <x:v>Simulador</x:v>
      </x:c>
    </x:row>
    <x:row r="8">
      <x:c r="A8" s="29" t="str">
        <x:v>Referência da Novação</x:v>
      </x:c>
      <x:c r="B8" s="29" t="str">
        <x:v>REF</x:v>
      </x:c>
      <x:c r="C8" s="68" t="str">
        <x:v>NV-0001</x:v>
      </x:c>
      <x:c r="D8" s="29" t="str"/>
      <x:c r="E8" s="29" t="str">
        <x:v>Input</x:v>
      </x:c>
    </x:row>
    <x:row r="9">
      <x:c r="A9" s="29" t="str">
        <x:v>Novo credor</x:v>
      </x:c>
      <x:c r="B9" s="29" t="str">
        <x:v>NCRED</x:v>
      </x:c>
      <x:c r="C9" s="108" t="str">
        <x:f>Simulador!$I$28</x:f>
        <x:v>Investidor Alfa</x:v>
      </x:c>
      <x:c r="D9" s="29" t="str"/>
      <x:c r="E9" s="29" t="str">
        <x:v>Ativo principal</x:v>
      </x:c>
    </x:row>
    <x:row r="10">
      <x:c r="A10" s="29" t="str">
        <x:v>Data-base</x:v>
      </x:c>
      <x:c r="B10" s="29" t="str">
        <x:v>DB</x:v>
      </x:c>
      <x:c r="C10" s="109" t="n">
        <x:f>Simulador!$C$5</x:f>
        <x:v>46260</x:v>
      </x:c>
      <x:c r="D10" s="29" t="str">
        <x:v>data</x:v>
      </x:c>
      <x:c r="E10" s="29" t="str">
        <x:v>Simulador</x:v>
      </x:c>
    </x:row>
    <x:row r="11">
      <x:c r="A11" s="29" t="str">
        <x:v>Data da assinatura</x:v>
      </x:c>
      <x:c r="B11" s="29" t="str">
        <x:v>DAS</x:v>
      </x:c>
      <x:c r="C11" s="109" t="n">
        <x:f>Simulador!$C$10</x:f>
        <x:v>46260</x:v>
      </x:c>
      <x:c r="D11" s="29" t="str">
        <x:v>data</x:v>
      </x:c>
      <x:c r="E11" s="29" t="str">
        <x:v>Simulador</x:v>
      </x:c>
    </x:row>
    <x:row r="12">
      <x:c r="A12" s="29" t="str">
        <x:v>Data prevista de ativação</x:v>
      </x:c>
      <x:c r="B12" s="29" t="str">
        <x:v>DAT</x:v>
      </x:c>
      <x:c r="C12" s="109" t="n">
        <x:f>Simulador!$C$11</x:f>
        <x:v>46262</x:v>
      </x:c>
      <x:c r="D12" s="29" t="str">
        <x:v>data</x:v>
      </x:c>
      <x:c r="E12" s="29" t="str">
        <x:v>Simulador</x:v>
      </x:c>
    </x:row>
    <x:row r="13">
      <x:c r="A13" s="29" t="str">
        <x:v>Primeiro vencimento</x:v>
      </x:c>
      <x:c r="B13" s="29" t="str">
        <x:v>D1</x:v>
      </x:c>
      <x:c r="C13" s="109" t="n">
        <x:f>Simulador!$C$12</x:f>
        <x:v>46269</x:v>
      </x:c>
      <x:c r="D13" s="29" t="str">
        <x:v>data</x:v>
      </x:c>
      <x:c r="E13" s="29" t="str">
        <x:v>Simulador</x:v>
      </x:c>
    </x:row>
    <x:row r="14">
      <x:c r="A14" s="29" t="str">
        <x:v>Frequência</x:v>
      </x:c>
      <x:c r="B14" s="29" t="str">
        <x:v>FR</x:v>
      </x:c>
      <x:c r="C14" s="108" t="str">
        <x:f>Simulador!$C$8</x:f>
        <x:v>Semanal</x:v>
      </x:c>
      <x:c r="D14" s="29" t="str"/>
      <x:c r="E14" s="29" t="str">
        <x:v>Simulador</x:v>
      </x:c>
    </x:row>
    <x:row r="15">
      <x:c r="A15" s="29" t="str">
        <x:v>Prazo</x:v>
      </x:c>
      <x:c r="B15" s="29" t="str">
        <x:v>PM</x:v>
      </x:c>
      <x:c r="C15" s="108" t="n">
        <x:f>Simulador!$C$9</x:f>
        <x:v>48</x:v>
      </x:c>
      <x:c r="D15" s="29" t="str">
        <x:v>meses</x:v>
      </x:c>
      <x:c r="E15" s="29" t="str">
        <x:v>Simulador</x:v>
      </x:c>
    </x:row>
    <x:row r="16">
      <x:c r="A16" s="29" t="str">
        <x:v>Quantidade de parcelas</x:v>
      </x:c>
      <x:c r="B16" s="29" t="str">
        <x:v>n</x:v>
      </x:c>
      <x:c r="C16" s="108" t="n">
        <x:f>Simulador!$I$19</x:f>
        <x:v>209</x:v>
      </x:c>
      <x:c r="D16" s="29" t="str">
        <x:v>parcelas</x:v>
      </x:c>
      <x:c r="E16" s="29" t="str">
        <x:v>Simulador</x:v>
      </x:c>
    </x:row>
    <x:row r="17">
      <x:c r="A17" s="29" t="str">
        <x:v>Saldo consolidado de origem</x:v>
      </x:c>
      <x:c r="B17" s="29" t="str">
        <x:v>SO</x:v>
      </x:c>
      <x:c r="C17" s="110" t="n">
        <x:f>Simulador!$I$6</x:f>
        <x:v>7409.66</x:v>
      </x:c>
      <x:c r="D17" s="29" t="str">
        <x:v>R$</x:v>
      </x:c>
      <x:c r="E17" s="29" t="str">
        <x:v>Simulador</x:v>
      </x:c>
    </x:row>
    <x:row r="18">
      <x:c r="A18" s="29" t="str">
        <x:v>Ajuste econômico de ativos</x:v>
      </x:c>
      <x:c r="B18" s="29" t="str">
        <x:v>AA</x:v>
      </x:c>
      <x:c r="C18" s="110" t="n">
        <x:f>Simulador!$I$7</x:f>
        <x:v>5000</x:v>
      </x:c>
      <x:c r="D18" s="29" t="str">
        <x:v>R$</x:v>
      </x:c>
      <x:c r="E18" s="29" t="str">
        <x:v>Simulador</x:v>
      </x:c>
    </x:row>
    <x:row r="19">
      <x:c r="A19" s="29" t="str">
        <x:v>Saldo-base</x:v>
      </x:c>
      <x:c r="B19" s="29" t="str">
        <x:v>SB</x:v>
      </x:c>
      <x:c r="C19" s="110" t="n">
        <x:f>Simulador!$I$8</x:f>
        <x:v>12409.66</x:v>
      </x:c>
      <x:c r="D19" s="29" t="str">
        <x:v>R$</x:v>
      </x:c>
      <x:c r="E19" s="29" t="str">
        <x:v>Simulador</x:v>
      </x:c>
    </x:row>
    <x:row r="20">
      <x:c r="A20" s="29" t="str">
        <x:v>Desconto global</x:v>
      </x:c>
      <x:c r="B20" s="29" t="str">
        <x:v>D</x:v>
      </x:c>
      <x:c r="C20" s="110" t="n">
        <x:f>Simulador!$I$9</x:f>
        <x:v>148.19</x:v>
      </x:c>
      <x:c r="D20" s="29" t="str">
        <x:v>R$</x:v>
      </x:c>
      <x:c r="E20" s="29" t="str">
        <x:v>Simulador</x:v>
      </x:c>
    </x:row>
    <x:row r="21">
      <x:c r="A21" s="29" t="str">
        <x:v>Saldo novado</x:v>
      </x:c>
      <x:c r="B21" s="29" t="str">
        <x:v>SN</x:v>
      </x:c>
      <x:c r="C21" s="110" t="n">
        <x:f>Simulador!$I$10</x:f>
        <x:v>12261.47</x:v>
      </x:c>
      <x:c r="D21" s="29" t="str">
        <x:v>R$</x:v>
      </x:c>
      <x:c r="E21" s="29" t="str">
        <x:v>Simulador</x:v>
      </x:c>
    </x:row>
    <x:row r="22">
      <x:c r="A22" s="29" t="str">
        <x:v>Taxa Inicial de Processamento</x:v>
      </x:c>
      <x:c r="B22" s="29" t="str">
        <x:v>TP</x:v>
      </x:c>
      <x:c r="C22" s="110" t="n">
        <x:f>Simulador!$I$11</x:f>
        <x:v>3990</x:v>
      </x:c>
      <x:c r="D22" s="29" t="str">
        <x:v>R$</x:v>
      </x:c>
      <x:c r="E22" s="29" t="str">
        <x:v>Simulador</x:v>
      </x:c>
    </x:row>
    <x:row r="23">
      <x:c r="A23" s="29" t="str">
        <x:v>Recebimento inicial</x:v>
      </x:c>
      <x:c r="B23" s="29" t="str">
        <x:v>E</x:v>
      </x:c>
      <x:c r="C23" s="110" t="n">
        <x:f>Simulador!$I$13</x:f>
        <x:v>5000</x:v>
      </x:c>
      <x:c r="D23" s="29" t="str">
        <x:v>R$</x:v>
      </x:c>
      <x:c r="E23" s="29" t="str">
        <x:v>Simulador</x:v>
      </x:c>
    </x:row>
    <x:row r="24">
      <x:c r="A24" s="29" t="str">
        <x:v>Amortização efetiva inicial</x:v>
      </x:c>
      <x:c r="B24" s="29" t="str">
        <x:v>AE</x:v>
      </x:c>
      <x:c r="C24" s="110" t="n">
        <x:f>Simulador!$I$16</x:f>
        <x:v>1010</x:v>
      </x:c>
      <x:c r="D24" s="29" t="str">
        <x:v>R$</x:v>
      </x:c>
      <x:c r="E24" s="29" t="str">
        <x:v>Simulador</x:v>
      </x:c>
    </x:row>
    <x:row r="25">
      <x:c r="A25" s="29" t="str">
        <x:v>Saldo principal a parcelar</x:v>
      </x:c>
      <x:c r="B25" s="29" t="str">
        <x:v>SP</x:v>
      </x:c>
      <x:c r="C25" s="110" t="n">
        <x:f>Simulador!$I$17</x:f>
        <x:v>11251.47</x:v>
      </x:c>
      <x:c r="D25" s="29" t="str">
        <x:v>R$</x:v>
      </x:c>
      <x:c r="E25" s="29" t="str">
        <x:v>Simulador</x:v>
      </x:c>
    </x:row>
    <x:row r="26">
      <x:c r="A26" s="29" t="str">
        <x:v>Taxa financeira mensal</x:v>
      </x:c>
      <x:c r="B26" s="29" t="str">
        <x:v>TR</x:v>
      </x:c>
      <x:c r="C26" s="111" t="n">
        <x:f>'Parâmetros'!$C$12</x:f>
        <x:v>0.017</x:v>
      </x:c>
      <x:c r="D26" s="29" t="str">
        <x:v>% a.m.</x:v>
      </x:c>
      <x:c r="E26" s="29" t="str">
        <x:v>Parâmetros</x:v>
      </x:c>
    </x:row>
    <x:row r="27">
      <x:c r="A27" s="29" t="str">
        <x:v>Parcela financeira padrão</x:v>
      </x:c>
      <x:c r="B27" s="29" t="str">
        <x:v>PFC</x:v>
      </x:c>
      <x:c r="C27" s="110" t="n">
        <x:f>Simulador!$I$20</x:f>
        <x:v>79.12</x:v>
      </x:c>
      <x:c r="D27" s="29" t="str">
        <x:v>R$</x:v>
      </x:c>
      <x:c r="E27" s="29" t="str">
        <x:v>Simulador</x:v>
      </x:c>
    </x:row>
    <x:row r="28">
      <x:c r="A28" s="29" t="str">
        <x:v>Última parcela financeira</x:v>
      </x:c>
      <x:c r="B28" s="29" t="str">
        <x:v>ULT</x:v>
      </x:c>
      <x:c r="C28" s="110" t="n">
        <x:f>Simulador!$I$21</x:f>
        <x:v>77.92</x:v>
      </x:c>
      <x:c r="D28" s="29" t="str">
        <x:v>R$</x:v>
      </x:c>
      <x:c r="E28" s="29" t="str">
        <x:v>Simulador</x:v>
      </x:c>
    </x:row>
    <x:row r="29">
      <x:c r="A29" s="29" t="str">
        <x:v>Comissão por frequência</x:v>
      </x:c>
      <x:c r="B29" s="29" t="str">
        <x:v>COM_f</x:v>
      </x:c>
      <x:c r="C29" s="110" t="n">
        <x:f>Simulador!$I$22</x:f>
        <x:v>199.99</x:v>
      </x:c>
      <x:c r="D29" s="29" t="str">
        <x:v>R$</x:v>
      </x:c>
      <x:c r="E29" s="29" t="str">
        <x:v>Simulador</x:v>
      </x:c>
    </x:row>
    <x:row r="30">
      <x:c r="A30" s="29" t="str">
        <x:v>Proteção por frequência</x:v>
      </x:c>
      <x:c r="B30" s="29" t="str">
        <x:v>PRV_f</x:v>
      </x:c>
      <x:c r="C30" s="110" t="n">
        <x:f>Simulador!$I$23</x:f>
        <x:v>187.5</x:v>
      </x:c>
      <x:c r="D30" s="29" t="str">
        <x:v>R$</x:v>
      </x:c>
      <x:c r="E30" s="29" t="str">
        <x:v>Simulador</x:v>
      </x:c>
    </x:row>
    <x:row r="31">
      <x:c r="A31" s="29" t="str">
        <x:v>Acessórios por frequência</x:v>
      </x:c>
      <x:c r="B31" s="29" t="str">
        <x:v>ACC</x:v>
      </x:c>
      <x:c r="C31" s="110" t="n">
        <x:f>Simulador!$I$24</x:f>
        <x:v>0</x:v>
      </x:c>
      <x:c r="D31" s="29" t="str">
        <x:v>R$</x:v>
      </x:c>
      <x:c r="E31" s="29" t="str">
        <x:v>Simulador</x:v>
      </x:c>
    </x:row>
    <x:row r="32">
      <x:c r="A32" s="29" t="str">
        <x:v>Fatura total estimada</x:v>
      </x:c>
      <x:c r="B32" s="29" t="str">
        <x:v>FAT</x:v>
      </x:c>
      <x:c r="C32" s="110" t="n">
        <x:f>Simulador!$I$25</x:f>
        <x:v>466.61</x:v>
      </x:c>
      <x:c r="D32" s="29" t="str">
        <x:v>R$</x:v>
      </x:c>
      <x:c r="E32" s="29" t="str">
        <x:v>Simulador</x:v>
      </x:c>
    </x:row>
    <x:row r="33">
      <x:c r="A33" s="29" t="str">
        <x:v>Taxa de desconto liquidação</x:v>
      </x:c>
      <x:c r="B33" s="29" t="str">
        <x:v>TRD_NV</x:v>
      </x:c>
      <x:c r="C33" s="111" t="n">
        <x:f>'Parâmetros'!$C$13</x:f>
        <x:v>0.015</x:v>
      </x:c>
      <x:c r="D33" s="29" t="str">
        <x:v>% a.m.</x:v>
      </x:c>
      <x:c r="E33" s="29" t="str">
        <x:v>Parâmetros</x:v>
      </x:c>
    </x:row>
    <x:row r="34">
      <x:c r="A34" s="29"/>
      <x:c r="B34" s="29"/>
      <x:c r="C34" s="29"/>
      <x:c r="D34" s="29"/>
      <x:c r="E34" s="29"/>
    </x:row>
    <x:row r="35" ht="20" customHeight="1">
      <x:c r="A35" s="34" t="str">
        <x:v>2. VALIDAÇÕES OPERACIONAIS PARA FORMALIZAÇÃO / ATIVAÇÃO</x:v>
      </x:c>
      <x:c r="B35" s="34" t="str">
        <x:v>2. VALIDAÇÕES OPERACIONAIS PARA FORMALIZAÇÃO / ATIVAÇÃO</x:v>
      </x:c>
      <x:c r="C35" s="34" t="str">
        <x:v>2. VALIDAÇÕES OPERACIONAIS PARA FORMALIZAÇÃO / ATIVAÇÃO</x:v>
      </x:c>
      <x:c r="D35" s="34" t="str">
        <x:v>2. VALIDAÇÕES OPERACIONAIS PARA FORMALIZAÇÃO / ATIVAÇÃO</x:v>
      </x:c>
      <x:c r="E35" s="34" t="str">
        <x:v>2. VALIDAÇÕES OPERACIONAIS PARA FORMALIZAÇÃO / ATIVAÇÃO</x:v>
      </x:c>
    </x:row>
    <x:row r="36">
      <x:c r="A36" s="14" t="str">
        <x:v>Validação</x:v>
      </x:c>
      <x:c r="B36" s="14" t="str">
        <x:v>Limite / condição</x:v>
      </x:c>
      <x:c r="C36" s="14" t="str">
        <x:v>Referência</x:v>
      </x:c>
      <x:c r="D36" s="14" t="str">
        <x:v>Resultado</x:v>
      </x:c>
      <x:c r="E36" s="14" t="str">
        <x:v>Regra</x:v>
      </x:c>
    </x:row>
    <x:row r="37">
      <x:c r="A37" s="29" t="str">
        <x:v>CONAC</x:v>
      </x:c>
      <x:c r="B37" s="29" t="str">
        <x:v>Obrigatório</x:v>
      </x:c>
      <x:c r="C37" s="29" t="str">
        <x:v>RNV004</x:v>
      </x:c>
      <x:c r="D37" s="68" t="str">
        <x:v>Aprovada</x:v>
      </x:c>
      <x:c r="E37" s="29" t="str">
        <x:v>Toda Novação exige aprovação</x:v>
      </x:c>
    </x:row>
    <x:row r="38">
      <x:c r="A38" s="29" t="str">
        <x:v>Assinatura eletrônica</x:v>
      </x:c>
      <x:c r="B38" s="29" t="str">
        <x:v>Obrigatória</x:v>
      </x:c>
      <x:c r="C38" s="29" t="str">
        <x:v>RNV037</x:v>
      </x:c>
      <x:c r="D38" s="68" t="str">
        <x:v>Assinada</x:v>
      </x:c>
      <x:c r="E38" s="29" t="str">
        <x:v>Cliente e garantidores aplicáveis</x:v>
      </x:c>
    </x:row>
    <x:row r="39">
      <x:c r="A39" s="29" t="str">
        <x:v>Recebimento inicial</x:v>
      </x:c>
      <x:c r="B39" s="29" t="str">
        <x:v>≥ TP / E_min_op</x:v>
      </x:c>
      <x:c r="C39" s="29" t="str">
        <x:v>RNV029</x:v>
      </x:c>
      <x:c r="D39" s="81" t="str">
        <x:f>IF(C23&gt;=Simulador!$I$14,"OK","AJUSTAR")</x:f>
        <x:v>OK</x:v>
      </x:c>
      <x:c r="E39" s="29" t="str">
        <x:v>Condição financeira de ativação</x:v>
      </x:c>
    </x:row>
    <x:row r="40">
      <x:c r="A40" s="29" t="str">
        <x:v>Prazo assinatura→ativação</x:v>
      </x:c>
      <x:c r="B40" s="29" t="str">
        <x:v>≤ 5 dias</x:v>
      </x:c>
      <x:c r="C40" s="29" t="str">
        <x:v>NV015</x:v>
      </x:c>
      <x:c r="D40" s="81" t="str">
        <x:f>IF(C12-C11&lt;='Parâmetros'!$C$18,"OK","RECALCULAR")</x:f>
        <x:v>OK</x:v>
      </x:c>
      <x:c r="E40" s="29" t="str">
        <x:v>Recalcular se exceder</x:v>
      </x:c>
    </x:row>
    <x:row r="41">
      <x:c r="A41" s="29" t="str">
        <x:v>Liquidações interentidades</x:v>
      </x:c>
      <x:c r="B41" s="29" t="str">
        <x:v>Concluídas quando aplicável</x:v>
      </x:c>
      <x:c r="C41" s="29" t="str">
        <x:v>RNV024</x:v>
      </x:c>
      <x:c r="D41" s="68" t="str">
        <x:v>Liquidada</x:v>
      </x:c>
      <x:c r="E41" s="29" t="str">
        <x:v>Antes da ativação</x:v>
      </x:c>
    </x:row>
    <x:row r="42">
      <x:c r="A42" s="29" t="str">
        <x:v>Análise de crédito</x:v>
      </x:c>
      <x:c r="B42" s="29" t="str">
        <x:v>Se aumento de exposição</x:v>
      </x:c>
      <x:c r="C42" s="29" t="str">
        <x:v>RNV032</x:v>
      </x:c>
      <x:c r="D42" s="81" t="str">
        <x:f>IF(Simulador!$I$26&gt;0,"EXIGIDA","NÃO EXIGIDA")</x:f>
        <x:v>EXIGIDA</x:v>
      </x:c>
      <x:c r="E42" s="29" t="str">
        <x:v>Crédito + CONAC quando EXP &gt; 0</x:v>
      </x:c>
    </x:row>
    <x:row r="43">
      <x:c r="A43" s="29"/>
      <x:c r="B43" s="29"/>
      <x:c r="C43" s="29"/>
      <x:c r="D43" s="29"/>
      <x:c r="E43" s="29"/>
    </x:row>
    <x:row r="44" ht="20" customHeight="1">
      <x:c r="A44" s="34" t="str">
        <x:v>3. VALOR E FORMA DE PAGAMENTO — TERMOS DE NEGÓCIO</x:v>
      </x:c>
      <x:c r="B44" s="34" t="str">
        <x:v>3. VALOR E FORMA DE PAGAMENTO — TERMOS DE NEGÓCIO</x:v>
      </x:c>
      <x:c r="C44" s="34" t="str">
        <x:v>3. VALOR E FORMA DE PAGAMENTO — TERMOS DE NEGÓCIO</x:v>
      </x:c>
      <x:c r="D44" s="34" t="str">
        <x:v>3. VALOR E FORMA DE PAGAMENTO — TERMOS DE NEGÓCIO</x:v>
      </x:c>
      <x:c r="E44" s="34" t="str">
        <x:v>3. VALOR E FORMA DE PAGAMENTO — TERMOS DE NEGÓCIO</x:v>
      </x:c>
    </x:row>
    <x:row r="45">
      <x:c r="A45" s="14" t="str">
        <x:v>Item</x:v>
      </x:c>
      <x:c r="B45" s="14" t="str">
        <x:v>Termo</x:v>
      </x:c>
      <x:c r="C45" s="14" t="str">
        <x:v>Valor / referência</x:v>
      </x:c>
      <x:c r="D45" s="14" t="str">
        <x:v>Regra</x:v>
      </x:c>
      <x:c r="E45" s="14" t="str">
        <x:v>Observação</x:v>
      </x:c>
    </x:row>
    <x:row r="46">
      <x:c r="A46" s="29" t="str">
        <x:v>3.1</x:v>
      </x:c>
      <x:c r="B46" s="29" t="str">
        <x:v>Saldo consolidado de origem</x:v>
      </x:c>
      <x:c r="C46" s="110" t="n">
        <x:f>C17</x:f>
        <x:v>7409.66</x:v>
      </x:c>
      <x:c r="D46" s="29" t="str">
        <x:v>Soma dos VL selecionados</x:v>
      </x:c>
      <x:c r="E46" s="29" t="str">
        <x:v>Memória por produto/contrato/entidade</x:v>
      </x:c>
    </x:row>
    <x:row r="47">
      <x:c r="A47" s="29" t="str">
        <x:v>3.1</x:v>
      </x:c>
      <x:c r="B47" s="29" t="str">
        <x:v>Ajuste econômico de ativos</x:v>
      </x:c>
      <x:c r="C47" s="110" t="n">
        <x:f>C18</x:f>
        <x:v>5000</x:v>
      </x:c>
      <x:c r="D47" s="29" t="str">
        <x:v>Valor manual aprovado</x:v>
      </x:c>
      <x:c r="E47" s="29" t="str">
        <x:v>Memória no parecer</x:v>
      </x:c>
    </x:row>
    <x:row r="48">
      <x:c r="A48" s="29" t="str">
        <x:v>3.1</x:v>
      </x:c>
      <x:c r="B48" s="29" t="str">
        <x:v>Desconto global</x:v>
      </x:c>
      <x:c r="C48" s="110" t="n">
        <x:f>C20</x:f>
        <x:v>148.19</x:v>
      </x:c>
      <x:c r="D48" s="29" t="str">
        <x:v>Rateio proporcional</x:v>
      </x:c>
      <x:c r="E48" s="29" t="str">
        <x:v>CONAC</x:v>
      </x:c>
    </x:row>
    <x:row r="49">
      <x:c r="A49" s="29" t="str">
        <x:v>3.1</x:v>
      </x:c>
      <x:c r="B49" s="29" t="str">
        <x:v>Saldo novado</x:v>
      </x:c>
      <x:c r="C49" s="110" t="n">
        <x:f>C21</x:f>
        <x:v>12261.47</x:v>
      </x:c>
      <x:c r="D49" s="29" t="str">
        <x:v>SO − D + AA</x:v>
      </x:c>
      <x:c r="E49" s="29" t="str">
        <x:v>Base da nova obrigação</x:v>
      </x:c>
    </x:row>
    <x:row r="50">
      <x:c r="A50" s="29" t="str">
        <x:v>3.2</x:v>
      </x:c>
      <x:c r="B50" s="29" t="str">
        <x:v>Taxa Inicial de Processamento</x:v>
      </x:c>
      <x:c r="C50" s="110" t="n">
        <x:f>C22</x:f>
        <x:v>3990</x:v>
      </x:c>
      <x:c r="D50" s="29" t="str">
        <x:v>máx(SB×NV006; NV007)</x:v>
      </x:c>
      <x:c r="E50" s="29" t="str">
        <x:v>100% Azit Move</x:v>
      </x:c>
    </x:row>
    <x:row r="51">
      <x:c r="A51" s="29" t="str">
        <x:v>3.3</x:v>
      </x:c>
      <x:c r="B51" s="29" t="str">
        <x:v>Recebimento inicial</x:v>
      </x:c>
      <x:c r="C51" s="110" t="n">
        <x:f>C23</x:f>
        <x:v>5000</x:v>
      </x:c>
      <x:c r="D51" s="29" t="str">
        <x:v>Entrada ou primeiro recebimento</x:v>
      </x:c>
      <x:c r="E51" s="29" t="str">
        <x:v>Ativação após confirmação</x:v>
      </x:c>
    </x:row>
    <x:row r="52">
      <x:c r="A52" s="29" t="str">
        <x:v>3.4</x:v>
      </x:c>
      <x:c r="B52" s="29" t="str">
        <x:v>Saldo principal parcelado</x:v>
      </x:c>
      <x:c r="C52" s="110" t="n">
        <x:f>C25</x:f>
        <x:v>11251.47</x:v>
      </x:c>
      <x:c r="D52" s="29" t="str">
        <x:v>SN − (E − TP)</x:v>
      </x:c>
      <x:c r="E52" s="29" t="str">
        <x:v>Sujeito à taxa financeira</x:v>
      </x:c>
    </x:row>
    <x:row r="53">
      <x:c r="A53" s="29" t="str">
        <x:v>3.4</x:v>
      </x:c>
      <x:c r="B53" s="29" t="str">
        <x:v>Taxa financeira</x:v>
      </x:c>
      <x:c r="C53" s="111" t="n">
        <x:f>C26</x:f>
        <x:v>0.017</x:v>
      </x:c>
      <x:c r="D53" s="29" t="str">
        <x:v>NV009</x:v>
      </x:c>
      <x:c r="E53" s="29" t="str">
        <x:v>Equivalência por frequência</x:v>
      </x:c>
    </x:row>
    <x:row r="54">
      <x:c r="A54" s="29" t="str">
        <x:v>3.4</x:v>
      </x:c>
      <x:c r="B54" s="29" t="str">
        <x:v>Quantidade / frequência</x:v>
      </x:c>
      <x:c r="C54" s="112" t="n">
        <x:f>C16</x:f>
        <x:v>209</x:v>
      </x:c>
      <x:c r="D54" s="29" t="str">
        <x:v>n / FR</x:v>
      </x:c>
      <x:c r="E54" s="29" t="str">
        <x:v>Novo cronograma principal</x:v>
      </x:c>
    </x:row>
    <x:row r="55">
      <x:c r="A55" s="29" t="str">
        <x:v>3.4</x:v>
      </x:c>
      <x:c r="B55" s="29" t="str">
        <x:v>Parcela financeira</x:v>
      </x:c>
      <x:c r="C55" s="110" t="n">
        <x:f>C27</x:f>
        <x:v>79.12</x:v>
      </x:c>
      <x:c r="D55" s="29" t="str">
        <x:v>Sistema Price</x:v>
      </x:c>
      <x:c r="E55" s="29" t="str">
        <x:v>Última absorve residual</x:v>
      </x:c>
    </x:row>
    <x:row r="56">
      <x:c r="A56" s="29" t="str">
        <x:v>3.5</x:v>
      </x:c>
      <x:c r="B56" s="29" t="str">
        <x:v>Comissão recorrente</x:v>
      </x:c>
      <x:c r="C56" s="110" t="n">
        <x:f>C29</x:f>
        <x:v>199.99</x:v>
      </x:c>
      <x:c r="D56" s="29" t="str">
        <x:v>NV013 / ICVF</x:v>
      </x:c>
      <x:c r="E56" s="29" t="str">
        <x:v>Azit Move; fora do principal</x:v>
      </x:c>
    </x:row>
    <x:row r="57">
      <x:c r="A57" s="29" t="str">
        <x:v>3.5</x:v>
      </x:c>
      <x:c r="B57" s="29" t="str">
        <x:v>Proteção Veicular</x:v>
      </x:c>
      <x:c r="C57" s="110" t="n">
        <x:f>C30</x:f>
        <x:v>187.5</x:v>
      </x:c>
      <x:c r="D57" s="29" t="str">
        <x:v>Novo contrato apartado</x:v>
      </x:c>
      <x:c r="E57" s="29" t="str">
        <x:v>Compõe a fatura</x:v>
      </x:c>
    </x:row>
    <x:row r="58">
      <x:c r="A58" s="29" t="str">
        <x:v>3.5</x:v>
      </x:c>
      <x:c r="B58" s="29" t="str">
        <x:v>Fatura total estimada</x:v>
      </x:c>
      <x:c r="C58" s="110" t="n">
        <x:f>C32</x:f>
        <x:v>466.61</x:v>
      </x:c>
      <x:c r="D58" s="29" t="str">
        <x:v>Financeiro + Comissão + Proteção + acessórios</x:v>
      </x:c>
      <x:c r="E58" s="29" t="str">
        <x:v>Valor cheio</x:v>
      </x:c>
    </x:row>
    <x:row r="59">
      <x:c r="A59" s="29"/>
      <x:c r="B59" s="29"/>
      <x:c r="C59" s="29"/>
      <x:c r="D59" s="29"/>
      <x:c r="E59" s="29"/>
    </x:row>
    <x:row r="60" ht="20" customHeight="1">
      <x:c r="A60" s="34" t="str">
        <x:v>4. TEXTO-BASE PARA A MINUTA — CLÁUSULA 3. VALOR E FORMA DE PAGAMENTO</x:v>
      </x:c>
      <x:c r="B60" s="34" t="str">
        <x:v>4. TEXTO-BASE PARA A MINUTA — CLÁUSULA 3. VALOR E FORMA DE PAGAMENTO</x:v>
      </x:c>
      <x:c r="C60" s="34" t="str">
        <x:v>4. TEXTO-BASE PARA A MINUTA — CLÁUSULA 3. VALOR E FORMA DE PAGAMENTO</x:v>
      </x:c>
      <x:c r="D60" s="34" t="str">
        <x:v>4. TEXTO-BASE PARA A MINUTA — CLÁUSULA 3. VALOR E FORMA DE PAGAMENTO</x:v>
      </x:c>
      <x:c r="E60" s="34" t="str">
        <x:v>4. TEXTO-BASE PARA A MINUTA — CLÁUSULA 3. VALOR E FORMA DE PAGAMENTO</x:v>
      </x:c>
    </x:row>
    <x:row r="61" ht="42" customHeight="1">
      <x:c r="A61" s="29" t="str">
        <x:v>3.1. Para fins da presente Novação, as partes reconhecem que o saldo consolidado das obrigações de origem expressamente abrangidas corresponde a [SALDO_ORIGEM], ao qual é acrescido ou reduzido o ajuste econômico de ativos de [AJUSTE_ATIVOS] e deduzido o desconto aprovado de [DESCONTO], resultando no saldo novado de [SALDO_NOVADO].</x:v>
      </x:c>
      <x:c r="B61" s="29" t="str">
        <x:v>3.1. Para fins da presente Novação, as partes reconhecem que o saldo consolidado das obrigações de origem expressamente abrangidas corresponde a [SALDO_ORIGEM], ao qual é acrescido ou reduzido o ajuste econômico de ativos de [AJUSTE_ATIVOS] e deduzido o desconto aprovado de [DESCONTO], resultando no saldo novado de [SALDO_NOVADO].</x:v>
      </x:c>
      <x:c r="C61" s="29" t="str">
        <x:v>3.1. Para fins da presente Novação, as partes reconhecem que o saldo consolidado das obrigações de origem expressamente abrangidas corresponde a [SALDO_ORIGEM], ao qual é acrescido ou reduzido o ajuste econômico de ativos de [AJUSTE_ATIVOS] e deduzido o desconto aprovado de [DESCONTO], resultando no saldo novado de [SALDO_NOVADO].</x:v>
      </x:c>
      <x:c r="D61" s="29" t="str">
        <x:v>3.1. Para fins da presente Novação, as partes reconhecem que o saldo consolidado das obrigações de origem expressamente abrangidas corresponde a [SALDO_ORIGEM], ao qual é acrescido ou reduzido o ajuste econômico de ativos de [AJUSTE_ATIVOS] e deduzido o desconto aprovado de [DESCONTO], resultando no saldo novado de [SALDO_NOVADO].</x:v>
      </x:c>
      <x:c r="E61" s="29" t="str">
        <x:v>3.1. Para fins da presente Novação, as partes reconhecem que o saldo consolidado das obrigações de origem expressamente abrangidas corresponde a [SALDO_ORIGEM], ao qual é acrescido ou reduzido o ajuste econômico de ativos de [AJUSTE_ATIVOS] e deduzido o desconto aprovado de [DESCONTO], resultando no saldo novado de [SALDO_NOVADO].</x:v>
      </x:c>
    </x:row>
    <x:row r="62" ht="42" customHeight="1">
      <x:c r="A62" s="29" t="str">
        <x:v>3.2. Pela estruturação, formalização e processamento da operação, será devida Taxa Inicial de Processamento – TP no valor de [TP], calculada conforme os parâmetros vigentes da Novação e destinada integralmente à Azit Move. A TP será apropriada prioritariamente dentro do recebimento inicial.</x:v>
      </x:c>
      <x:c r="B62" s="29" t="str">
        <x:v>3.2. Pela estruturação, formalização e processamento da operação, será devida Taxa Inicial de Processamento – TP no valor de [TP], calculada conforme os parâmetros vigentes da Novação e destinada integralmente à Azit Move. A TP será apropriada prioritariamente dentro do recebimento inicial.</x:v>
      </x:c>
      <x:c r="C62" s="29" t="str">
        <x:v>3.2. Pela estruturação, formalização e processamento da operação, será devida Taxa Inicial de Processamento – TP no valor de [TP], calculada conforme os parâmetros vigentes da Novação e destinada integralmente à Azit Move. A TP será apropriada prioritariamente dentro do recebimento inicial.</x:v>
      </x:c>
      <x:c r="D62" s="29" t="str">
        <x:v>3.2. Pela estruturação, formalização e processamento da operação, será devida Taxa Inicial de Processamento – TP no valor de [TP], calculada conforme os parâmetros vigentes da Novação e destinada integralmente à Azit Move. A TP será apropriada prioritariamente dentro do recebimento inicial.</x:v>
      </x:c>
      <x:c r="E62" s="29" t="str">
        <x:v>3.2. Pela estruturação, formalização e processamento da operação, será devida Taxa Inicial de Processamento – TP no valor de [TP], calculada conforme os parâmetros vigentes da Novação e destinada integralmente à Azit Move. A TP será apropriada prioritariamente dentro do recebimento inicial.</x:v>
      </x:c>
    </x:row>
    <x:row r="63" ht="42" customHeight="1">
      <x:c r="A63" s="29" t="str">
        <x:v>3.3. O DEVEDOR realizará recebimento inicial no valor de [RECEBIMENTO_INICIAL], como condição financeira para ativação da Novação. Do montante recebido, [TP] será apropriado à Taxa Inicial de Processamento e o saldo remanescente será destinado à amortização do saldo novado.</x:v>
      </x:c>
      <x:c r="B63" s="29" t="str">
        <x:v>3.3. O DEVEDOR realizará recebimento inicial no valor de [RECEBIMENTO_INICIAL], como condição financeira para ativação da Novação. Do montante recebido, [TP] será apropriado à Taxa Inicial de Processamento e o saldo remanescente será destinado à amortização do saldo novado.</x:v>
      </x:c>
      <x:c r="C63" s="29" t="str">
        <x:v>3.3. O DEVEDOR realizará recebimento inicial no valor de [RECEBIMENTO_INICIAL], como condição financeira para ativação da Novação. Do montante recebido, [TP] será apropriado à Taxa Inicial de Processamento e o saldo remanescente será destinado à amortização do saldo novado.</x:v>
      </x:c>
      <x:c r="D63" s="29" t="str">
        <x:v>3.3. O DEVEDOR realizará recebimento inicial no valor de [RECEBIMENTO_INICIAL], como condição financeira para ativação da Novação. Do montante recebido, [TP] será apropriado à Taxa Inicial de Processamento e o saldo remanescente será destinado à amortização do saldo novado.</x:v>
      </x:c>
      <x:c r="E63" s="29" t="str">
        <x:v>3.3. O DEVEDOR realizará recebimento inicial no valor de [RECEBIMENTO_INICIAL], como condição financeira para ativação da Novação. Do montante recebido, [TP] será apropriado à Taxa Inicial de Processamento e o saldo remanescente será destinado à amortização do saldo novado.</x:v>
      </x:c>
    </x:row>
    <x:row r="64" ht="42" customHeight="1">
      <x:c r="A64" s="29" t="str">
        <x:v>3.4. Após o recebimento inicial, o saldo principal de [SALDO_PRINCIPAL] será pago em [QUANTIDADE] parcelas de frequência [FREQUENCIA], calculadas pela taxa financeira mensal de [TAXA_FINANCEIRA], sendo a parcela financeira padrão de [PARCELA_FINANCEIRA] e a última parcela ajustada conforme eventual diferença residual de arredondamento.</x:v>
      </x:c>
      <x:c r="B64" s="29" t="str">
        <x:v>3.4. Após o recebimento inicial, o saldo principal de [SALDO_PRINCIPAL] será pago em [QUANTIDADE] parcelas de frequência [FREQUENCIA], calculadas pela taxa financeira mensal de [TAXA_FINANCEIRA], sendo a parcela financeira padrão de [PARCELA_FINANCEIRA] e a última parcela ajustada conforme eventual diferença residual de arredondamento.</x:v>
      </x:c>
      <x:c r="C64" s="29" t="str">
        <x:v>3.4. Após o recebimento inicial, o saldo principal de [SALDO_PRINCIPAL] será pago em [QUANTIDADE] parcelas de frequência [FREQUENCIA], calculadas pela taxa financeira mensal de [TAXA_FINANCEIRA], sendo a parcela financeira padrão de [PARCELA_FINANCEIRA] e a última parcela ajustada conforme eventual diferença residual de arredondamento.</x:v>
      </x:c>
      <x:c r="D64" s="29" t="str">
        <x:v>3.4. Após o recebimento inicial, o saldo principal de [SALDO_PRINCIPAL] será pago em [QUANTIDADE] parcelas de frequência [FREQUENCIA], calculadas pela taxa financeira mensal de [TAXA_FINANCEIRA], sendo a parcela financeira padrão de [PARCELA_FINANCEIRA] e a última parcela ajustada conforme eventual diferença residual de arredondamento.</x:v>
      </x:c>
      <x:c r="E64" s="29" t="str">
        <x:v>3.4. Após o recebimento inicial, o saldo principal de [SALDO_PRINCIPAL] será pago em [QUANTIDADE] parcelas de frequência [FREQUENCIA], calculadas pela taxa financeira mensal de [TAXA_FINANCEIRA], sendo a parcela financeira padrão de [PARCELA_FINANCEIRA] e a última parcela ajustada conforme eventual diferença residual de arredondamento.</x:v>
      </x:c>
    </x:row>
    <x:row r="65" ht="42" customHeight="1">
      <x:c r="A65" s="29" t="str">
        <x:v>3.5. Além da parcela financeira da Novação, as faturas poderão conter Comissão recorrente de [COMISSAO], destinada à Azit Move, contribuição de Proteção Veicular de [PROTECAO], vinculada a instrumento próprio, e demais parcelas acessórias aplicáveis. A fatura total estimada na condição aprovada é de [FATURA_TOTAL].</x:v>
      </x:c>
      <x:c r="B65" s="29" t="str">
        <x:v>3.5. Além da parcela financeira da Novação, as faturas poderão conter Comissão recorrente de [COMISSAO], destinada à Azit Move, contribuição de Proteção Veicular de [PROTECAO], vinculada a instrumento próprio, e demais parcelas acessórias aplicáveis. A fatura total estimada na condição aprovada é de [FATURA_TOTAL].</x:v>
      </x:c>
      <x:c r="C65" s="29" t="str">
        <x:v>3.5. Além da parcela financeira da Novação, as faturas poderão conter Comissão recorrente de [COMISSAO], destinada à Azit Move, contribuição de Proteção Veicular de [PROTECAO], vinculada a instrumento próprio, e demais parcelas acessórias aplicáveis. A fatura total estimada na condição aprovada é de [FATURA_TOTAL].</x:v>
      </x:c>
      <x:c r="D65" s="29" t="str">
        <x:v>3.5. Além da parcela financeira da Novação, as faturas poderão conter Comissão recorrente de [COMISSAO], destinada à Azit Move, contribuição de Proteção Veicular de [PROTECAO], vinculada a instrumento próprio, e demais parcelas acessórias aplicáveis. A fatura total estimada na condição aprovada é de [FATURA_TOTAL].</x:v>
      </x:c>
      <x:c r="E65" s="29" t="str">
        <x:v>3.5. Além da parcela financeira da Novação, as faturas poderão conter Comissão recorrente de [COMISSAO], destinada à Azit Move, contribuição de Proteção Veicular de [PROTECAO], vinculada a instrumento próprio, e demais parcelas acessórias aplicáveis. A fatura total estimada na condição aprovada é de [FATURA_TOTAL].</x:v>
      </x:c>
    </x:row>
    <x:row r="66" ht="30" customHeight="1">
      <x:c r="A66" s="29" t="str">
        <x:v>3.6. A Comissão recorrente não integra o principal sujeito à taxa financeira da Novação. Quando vencida e não paga, sujeita-se à multa e aos juros de mora previstos para os itens vencidos da fatura.</x:v>
      </x:c>
      <x:c r="B66" s="29" t="str">
        <x:v>3.6. A Comissão recorrente não integra o principal sujeito à taxa financeira da Novação. Quando vencida e não paga, sujeita-se à multa e aos juros de mora previstos para os itens vencidos da fatura.</x:v>
      </x:c>
      <x:c r="C66" s="29" t="str">
        <x:v>3.6. A Comissão recorrente não integra o principal sujeito à taxa financeira da Novação. Quando vencida e não paga, sujeita-se à multa e aos juros de mora previstos para os itens vencidos da fatura.</x:v>
      </x:c>
      <x:c r="D66" s="29" t="str">
        <x:v>3.6. A Comissão recorrente não integra o principal sujeito à taxa financeira da Novação. Quando vencida e não paga, sujeita-se à multa e aos juros de mora previstos para os itens vencidos da fatura.</x:v>
      </x:c>
      <x:c r="E66" s="29" t="str">
        <x:v>3.6. A Comissão recorrente não integra o principal sujeito à taxa financeira da Novação. Quando vencida e não paga, sujeita-se à multa e aos juros de mora previstos para os itens vencidos da fatura.</x:v>
      </x:c>
    </x:row>
    <x:row r="67" ht="30" customHeight="1">
      <x:c r="A67" s="29" t="str">
        <x:v>3.7. O novo contrato de Novação passa, após sua ativação, a definir o cronograma principal das faturas, sem prejuízo da identificação individual dos produtos, contratos e parcelas que componham cada fatura.</x:v>
      </x:c>
      <x:c r="B67" s="29" t="str">
        <x:v>3.7. O novo contrato de Novação passa, após sua ativação, a definir o cronograma principal das faturas, sem prejuízo da identificação individual dos produtos, contratos e parcelas que componham cada fatura.</x:v>
      </x:c>
      <x:c r="C67" s="29" t="str">
        <x:v>3.7. O novo contrato de Novação passa, após sua ativação, a definir o cronograma principal das faturas, sem prejuízo da identificação individual dos produtos, contratos e parcelas que componham cada fatura.</x:v>
      </x:c>
      <x:c r="D67" s="29" t="str">
        <x:v>3.7. O novo contrato de Novação passa, após sua ativação, a definir o cronograma principal das faturas, sem prejuízo da identificação individual dos produtos, contratos e parcelas que componham cada fatura.</x:v>
      </x:c>
      <x:c r="E67" s="29" t="str">
        <x:v>3.7. O novo contrato de Novação passa, após sua ativação, a definir o cronograma principal das faturas, sem prejuízo da identificação individual dos produtos, contratos e parcelas que componham cada fatura.</x:v>
      </x:c>
    </x:row>
    <x:row r="68">
      <x:c r="A68" s="29"/>
      <x:c r="B68" s="29"/>
      <x:c r="C68" s="29"/>
      <x:c r="D68" s="29"/>
      <x:c r="E68" s="29"/>
    </x:row>
    <x:row r="69">
      <x:c r="A69" s="66" t="str">
        <x:v>Substitua os marcadores entre colchetes pelos valores da seção 3. O Jurídico deve homologar redação, garantias, cessões e condição precedente.</x:v>
      </x:c>
      <x:c r="B69" s="66" t="str">
        <x:v>Substitua os marcadores entre colchetes pelos valores da seção 3. O Jurídico deve homologar redação, garantias, cessões e condição precedente.</x:v>
      </x:c>
      <x:c r="C69" s="66" t="str">
        <x:v>Substitua os marcadores entre colchetes pelos valores da seção 3. O Jurídico deve homologar redação, garantias, cessões e condição precedente.</x:v>
      </x:c>
      <x:c r="D69" s="66" t="str">
        <x:v>Substitua os marcadores entre colchetes pelos valores da seção 3. O Jurídico deve homologar redação, garantias, cessões e condição precedente.</x:v>
      </x:c>
      <x:c r="E69" s="66" t="str">
        <x:v>Substitua os marcadores entre colchetes pelos valores da seção 3. O Jurídico deve homologar redação, garantias, cessões e condição precedente.</x:v>
      </x:c>
    </x:row>
  </x:sheetData>
  <x:mergeCells>
    <x:mergeCell ref="A1:E1"/>
    <x:mergeCell ref="A2:E2"/>
    <x:mergeCell ref="A4:E4"/>
    <x:mergeCell ref="A35:E35"/>
    <x:mergeCell ref="A44:E44"/>
    <x:mergeCell ref="A60:E60"/>
    <x:mergeCell ref="A61:E61"/>
    <x:mergeCell ref="A62:E62"/>
    <x:mergeCell ref="A63:E63"/>
    <x:mergeCell ref="A64:E64"/>
    <x:mergeCell ref="A65:E65"/>
    <x:mergeCell ref="A66:E66"/>
    <x:mergeCell ref="A67:E67"/>
    <x:mergeCell ref="A69:E6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4" hidden="0" customWidth="1"/>
    <x:col min="13" max="13" width="13" hidden="0" customWidth="1"/>
    <x:col min="14" max="14" width="16" hidden="0" customWidth="1"/>
    <x:col min="15" max="15" width="14" hidden="0" customWidth="1"/>
    <x:col min="16" max="16" width="12" hidden="0" customWidth="1"/>
    <x:col min="17" max="17" width="12" hidden="0" customWidth="1"/>
    <x:col min="18" max="18" width="16" hidden="0" customWidth="1"/>
    <x:col min="19" max="19" width="18" hidden="0" customWidth="1"/>
    <x:col min="20" max="20" width="14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7" hidden="0" customWidth="1"/>
    <x:col min="28" max="28" width="15" hidden="0" customWidth="1"/>
    <x:col min="29" max="29" width="38" hidden="0" customWidth="1"/>
  </x:cols>
  <x:sheetData>
    <x:row r="1">
      <x:c r="A1" s="128" t="str">
        <x:v>CRONOGRAMA DE PAGAMENTOS, ANTECIPAÇÃO E LIQUIDAÇÃO — NOVAÇÃO DE CONTRATO</x:v>
      </x:c>
      <x:c r="B1" s="128" t="str">
        <x:v>CRONOGRAMA DE PAGAMENTOS, ANTECIPAÇÃO E LIQUIDAÇÃO — NOVAÇÃO DE CONTRATO</x:v>
      </x:c>
      <x:c r="C1" s="128" t="str">
        <x:v>CRONOGRAMA DE PAGAMENTOS, ANTECIPAÇÃO E LIQUIDAÇÃO — NOVAÇÃO DE CONTRATO</x:v>
      </x:c>
      <x:c r="D1" s="128" t="str">
        <x:v>CRONOGRAMA DE PAGAMENTOS, ANTECIPAÇÃO E LIQUIDAÇÃO — NOVAÇÃO DE CONTRATO</x:v>
      </x:c>
      <x:c r="E1" s="128" t="str">
        <x:v>CRONOGRAMA DE PAGAMENTOS, ANTECIPAÇÃO E LIQUIDAÇÃO — NOVAÇÃO DE CONTRATO</x:v>
      </x:c>
      <x:c r="F1" s="128" t="str">
        <x:v>CRONOGRAMA DE PAGAMENTOS, ANTECIPAÇÃO E LIQUIDAÇÃO — NOVAÇÃO DE CONTRATO</x:v>
      </x:c>
      <x:c r="G1" s="128" t="str">
        <x:v>CRONOGRAMA DE PAGAMENTOS, ANTECIPAÇÃO E LIQUIDAÇÃO — NOVAÇÃO DE CONTRATO</x:v>
      </x:c>
      <x:c r="H1" s="128" t="str">
        <x:v>CRONOGRAMA DE PAGAMENTOS, ANTECIPAÇÃO E LIQUIDAÇÃO — NOVAÇÃO DE CONTRATO</x:v>
      </x:c>
      <x:c r="I1" s="128" t="str">
        <x:v>CRONOGRAMA DE PAGAMENTOS, ANTECIPAÇÃO E LIQUIDAÇÃO — NOVAÇÃO DE CONTRATO</x:v>
      </x:c>
      <x:c r="J1" s="128" t="str">
        <x:v>CRONOGRAMA DE PAGAMENTOS, ANTECIPAÇÃO E LIQUIDAÇÃO — NOVAÇÃO DE CONTRATO</x:v>
      </x:c>
      <x:c r="K1" s="128" t="str">
        <x:v>CRONOGRAMA DE PAGAMENTOS, ANTECIPAÇÃO E LIQUIDAÇÃO — NOVAÇÃO DE CONTRATO</x:v>
      </x:c>
      <x:c r="L1" s="128" t="str">
        <x:v>CRONOGRAMA DE PAGAMENTOS, ANTECIPAÇÃO E LIQUIDAÇÃO — NOVAÇÃO DE CONTRATO</x:v>
      </x:c>
      <x:c r="M1" s="128" t="str">
        <x:v>CRONOGRAMA DE PAGAMENTOS, ANTECIPAÇÃO E LIQUIDAÇÃO — NOVAÇÃO DE CONTRATO</x:v>
      </x:c>
      <x:c r="N1" s="128" t="str">
        <x:v>CRONOGRAMA DE PAGAMENTOS, ANTECIPAÇÃO E LIQUIDAÇÃO — NOVAÇÃO DE CONTRATO</x:v>
      </x:c>
      <x:c r="O1" s="128" t="str">
        <x:v>CRONOGRAMA DE PAGAMENTOS, ANTECIPAÇÃO E LIQUIDAÇÃO — NOVAÇÃO DE CONTRATO</x:v>
      </x:c>
      <x:c r="P1" s="128" t="str">
        <x:v>CRONOGRAMA DE PAGAMENTOS, ANTECIPAÇÃO E LIQUIDAÇÃO — NOVAÇÃO DE CONTRATO</x:v>
      </x:c>
      <x:c r="Q1" s="128" t="str">
        <x:v>CRONOGRAMA DE PAGAMENTOS, ANTECIPAÇÃO E LIQUIDAÇÃO — NOVAÇÃO DE CONTRATO</x:v>
      </x:c>
      <x:c r="R1" s="128" t="str">
        <x:v>CRONOGRAMA DE PAGAMENTOS, ANTECIPAÇÃO E LIQUIDAÇÃO — NOVAÇÃO DE CONTRATO</x:v>
      </x:c>
      <x:c r="S1" s="128" t="str">
        <x:v>CRONOGRAMA DE PAGAMENTOS, ANTECIPAÇÃO E LIQUIDAÇÃO — NOVAÇÃO DE CONTRATO</x:v>
      </x:c>
      <x:c r="T1" s="128" t="str">
        <x:v>CRONOGRAMA DE PAGAMENTOS, ANTECIPAÇÃO E LIQUIDAÇÃO — NOVAÇÃO DE CONTRATO</x:v>
      </x:c>
      <x:c r="U1" s="128" t="str">
        <x:v>CRONOGRAMA DE PAGAMENTOS, ANTECIPAÇÃO E LIQUIDAÇÃO — NOVAÇÃO DE CONTRATO</x:v>
      </x:c>
      <x:c r="V1" s="128" t="str">
        <x:v>CRONOGRAMA DE PAGAMENTOS, ANTECIPAÇÃO E LIQUIDAÇÃO — NOVAÇÃO DE CONTRATO</x:v>
      </x:c>
      <x:c r="W1" s="128" t="str">
        <x:v>CRONOGRAMA DE PAGAMENTOS, ANTECIPAÇÃO E LIQUIDAÇÃO — NOVAÇÃO DE CONTRATO</x:v>
      </x:c>
      <x:c r="X1" s="128" t="str">
        <x:v>CRONOGRAMA DE PAGAMENTOS, ANTECIPAÇÃO E LIQUIDAÇÃO — NOVAÇÃO DE CONTRATO</x:v>
      </x:c>
      <x:c r="Y1" s="128" t="str">
        <x:v>CRONOGRAMA DE PAGAMENTOS, ANTECIPAÇÃO E LIQUIDAÇÃO — NOVAÇÃO DE CONTRATO</x:v>
      </x:c>
      <x:c r="Z1" s="128" t="str">
        <x:v>CRONOGRAMA DE PAGAMENTOS, ANTECIPAÇÃO E LIQUIDAÇÃO — NOVAÇÃO DE CONTRATO</x:v>
      </x:c>
      <x:c r="AA1" s="128" t="str">
        <x:v>CRONOGRAMA DE PAGAMENTOS, ANTECIPAÇÃO E LIQUIDAÇÃO — NOVAÇÃO DE CONTRATO</x:v>
      </x:c>
      <x:c r="AB1" s="128" t="str">
        <x:v>CRONOGRAMA DE PAGAMENTOS, ANTECIPAÇÃO E LIQUIDAÇÃO — NOVAÇÃO DE CONTRATO</x:v>
      </x:c>
      <x:c r="AC1" s="128" t="str">
        <x:v>CRONOGRAMA DE PAGAMENTOS, ANTECIPAÇÃO E LIQUIDAÇÃO — NOVAÇÃO DE CONTRATO</x:v>
      </x:c>
    </x:row>
    <x:row r="2" ht="34" customHeight="1">
      <x:c r="A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B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C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D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E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F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G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H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I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J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K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L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M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N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O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P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Q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R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S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T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U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V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W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X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Y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Z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AA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AB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  <x:c r="AC2" s="66" t="str">
        <x:v>O “Valor para liquidação” considera vencidos pelo saldo remanescente acrescido de mora e parcela financeira vincenda a valor presente por NV010. Comissão futura é isenta; Proteção futura segue o contrato apartado. A grade exibe até 400 parcelas; operações diárias acima desse limite exigem expansão da tabela/Azit Hub.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  <x:c r="AA3" s="29"/>
      <x:c r="AB3" s="29"/>
      <x:c r="AC3" s="29"/>
    </x:row>
    <x:row r="4">
      <x:c r="A4" s="14" t="str">
        <x:v>Data para liquidação</x:v>
      </x:c>
      <x:c r="B4" s="14" t="str">
        <x:v>Saldo principal</x:v>
      </x:c>
      <x:c r="C4" s="14" t="str">
        <x:v>Recebimento inicial</x:v>
      </x:c>
      <x:c r="D4" s="14" t="str">
        <x:v>TP</x:v>
      </x:c>
      <x:c r="E4" s="14" t="str">
        <x:v>Parcelas</x:v>
      </x:c>
      <x:c r="F4" s="14" t="str">
        <x:v>Parcela financeira</x:v>
      </x:c>
      <x:c r="G4" s="14" t="str">
        <x:v>Comissão/freq.</x:v>
      </x:c>
      <x:c r="H4" s="14" t="str">
        <x:v>Proteção/freq.</x:v>
      </x:c>
      <x:c r="I4" s="14" t="str">
        <x:v>Fatura estimada</x:v>
      </x:c>
      <x:c r="J4" s="14" t="str">
        <x:v>Total nominal faturas</x:v>
      </x:c>
      <x:c r="K4" s="14" t="str">
        <x:v>Valor para liquidação</x:v>
      </x:c>
      <x:c r="L4" s="14" t="str">
        <x:v>Diferença nominal x liquidação</x:v>
      </x:c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  <x:c r="AA4" s="29"/>
      <x:c r="AB4" s="29"/>
      <x:c r="AC4" s="29"/>
    </x:row>
    <x:row r="5">
      <x:c r="A5" s="77" t="n">
        <x:v>46260</x:v>
      </x:c>
      <x:c r="B5" s="110" t="n">
        <x:f>Contrato!$C$25</x:f>
        <x:v>11251.47</x:v>
      </x:c>
      <x:c r="C5" s="110" t="n">
        <x:f>Contrato!$C$23</x:f>
        <x:v>5000</x:v>
      </x:c>
      <x:c r="D5" s="110" t="n">
        <x:f>Contrato!$C$22</x:f>
        <x:v>3990</x:v>
      </x:c>
      <x:c r="E5" s="112" t="n">
        <x:f>Contrato!$C$16</x:f>
        <x:v>209</x:v>
      </x:c>
      <x:c r="F5" s="110" t="n">
        <x:f>Contrato!$C$27</x:f>
        <x:v>79.12</x:v>
      </x:c>
      <x:c r="G5" s="110" t="n">
        <x:f>Contrato!$C$29</x:f>
        <x:v>199.99</x:v>
      </x:c>
      <x:c r="H5" s="110" t="n">
        <x:f>Contrato!$C$30</x:f>
        <x:v>187.5</x:v>
      </x:c>
      <x:c r="I5" s="110" t="n">
        <x:f>Contrato!$C$32</x:f>
        <x:v>466.61</x:v>
      </x:c>
      <x:c r="J5" s="110" t="n">
        <x:f>ROUND(SUM($K$8:$K$407),2)</x:f>
        <x:v>97520.29</x:v>
      </x:c>
      <x:c r="K5" s="110" t="n">
        <x:f>IF(A8="",0,Z8)</x:f>
        <x:v>11723.64</x:v>
      </x:c>
      <x:c r="L5" s="110" t="n">
        <x:f>ROUND(J5-K5,2)</x:f>
        <x:v>85796.65</x:v>
      </x:c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  <x:c r="AA6" s="29"/>
      <x:c r="AB6" s="29"/>
      <x:c r="AC6" s="29"/>
    </x:row>
    <x:row r="7">
      <x:c r="A7" s="14" t="str">
        <x:v>Parcela</x:v>
      </x:c>
      <x:c r="B7" s="14" t="str">
        <x:v>Total</x:v>
      </x:c>
      <x:c r="C7" s="14" t="str">
        <x:v>Vencimento</x:v>
      </x:c>
      <x:c r="D7" s="14" t="str">
        <x:v>Saldo inicial</x:v>
      </x:c>
      <x:c r="E7" s="14" t="str">
        <x:v>Juros / remuneração</x:v>
      </x:c>
      <x:c r="F7" s="14" t="str">
        <x:v>Amortização</x:v>
      </x:c>
      <x:c r="G7" s="14" t="str">
        <x:v>Parcela financeira</x:v>
      </x:c>
      <x:c r="H7" s="14" t="str">
        <x:v>Comissão</x:v>
      </x:c>
      <x:c r="I7" s="14" t="str">
        <x:v>Proteção</x:v>
      </x:c>
      <x:c r="J7" s="14" t="str">
        <x:v>Acessórios</x:v>
      </x:c>
      <x:c r="K7" s="14" t="str">
        <x:v>Fatura total</x:v>
      </x:c>
      <x:c r="L7" s="14" t="str">
        <x:v>Valor pago</x:v>
      </x:c>
      <x:c r="M7" s="14" t="str">
        <x:v>Data pagamento</x:v>
      </x:c>
      <x:c r="N7" s="14" t="str">
        <x:v>Situação</x:v>
      </x:c>
      <x:c r="O7" s="14" t="str">
        <x:v>Dias atraso / antecipação</x:v>
      </x:c>
      <x:c r="P7" s="14" t="str">
        <x:v>Multa</x:v>
      </x:c>
      <x:c r="Q7" s="14" t="str">
        <x:v>Juros mora</x:v>
      </x:c>
      <x:c r="R7" s="14" t="str">
        <x:v>Valor vencido hoje</x:v>
      </x:c>
      <x:c r="S7" s="14" t="str">
        <x:v>VP parcela financeira vincenda</x:v>
      </x:c>
      <x:c r="T7" s="14" t="str">
        <x:v>Comissão futura</x:v>
      </x:c>
      <x:c r="U7" s="14" t="str">
        <x:v>Proteção futura</x:v>
      </x:c>
      <x:c r="V7" s="14" t="str">
        <x:v>Valor hoje da fatura</x:v>
      </x:c>
      <x:c r="W7" s="14" t="str">
        <x:v>Saldo devedor após parcela</x:v>
      </x:c>
      <x:c r="X7" s="14" t="str">
        <x:v>Saldo nominal financeiro</x:v>
      </x:c>
      <x:c r="Y7" s="14" t="str">
        <x:v>Encargos financeiros futuros</x:v>
      </x:c>
      <x:c r="Z7" s="14" t="str">
        <x:v>Valor para liquidação</x:v>
      </x:c>
      <x:c r="AA7" s="14" t="str">
        <x:v>Diferença nominal x liquidação</x:v>
      </x:c>
      <x:c r="AB7" s="14" t="str">
        <x:v>Vencimento manual (opcional)</x:v>
      </x:c>
      <x:c r="AC7" s="14" t="str">
        <x:v>Observação</x:v>
      </x:c>
    </x:row>
    <x:row r="8">
      <x:c r="A8" s="129" t="n">
        <x:f>IF(ROW()-7&lt;=Contrato!$C$16,ROW()-7,"")</x:f>
        <x:v>1</x:v>
      </x:c>
      <x:c r="B8" s="129" t="n">
        <x:f>IF(A8="","",Contrato!$C$16)</x:f>
        <x:v>209</x:v>
      </x:c>
      <x:c r="C8" s="130" t="n">
        <x:f>IF(A8="","",IF(AB8&lt;&gt;"",AB8,IF(Contrato!$C$14="Mensal",EDATE(Contrato!$C$13,A8-1),Contrato!$C$13+(A8-1)*IF(Contrato!$C$14="Quinzenal",14,IF(Contrato!$C$14="Semanal",7,1)))))</x:f>
        <x:v>46269</x:v>
      </x:c>
      <x:c r="D8" s="131" t="n">
        <x:f>IF(A8="","",Contrato!$C$25)</x:f>
        <x:v>11251.47</x:v>
      </x:c>
      <x:c r="E8" s="131" t="n">
        <x:f>IF(A8="","",ROUND(D8*Simulador!$I$18,2))</x:f>
        <x:v>44.34</x:v>
      </x:c>
      <x:c r="F8" s="131" t="n">
        <x:f>IF(A8="","",ROUND(MIN(D8,MAX(G8-E8,0)),2))</x:f>
        <x:v>34.78</x:v>
      </x:c>
      <x:c r="G8" s="131" t="n">
        <x:f>IF(A8="","",IF(A8&lt;Contrato!$C$16,Contrato!$C$27,Contrato!$C$28))</x:f>
        <x:v>79.12</x:v>
      </x:c>
      <x:c r="H8" s="131" t="n">
        <x:f>IF(A8="","",Contrato!$C$29)</x:f>
        <x:v>199.99</x:v>
      </x:c>
      <x:c r="I8" s="131" t="n">
        <x:f>IF(A8="","",Contrato!$C$30)</x:f>
        <x:v>187.5</x:v>
      </x:c>
      <x:c r="J8" s="131" t="n">
        <x:f>IF(A8="","",Contrato!$C$31)</x:f>
        <x:v>0</x:v>
      </x:c>
      <x:c r="K8" s="131" t="n">
        <x:f>IF(A8="","",ROUND(SUM(G8:J8),2))</x:f>
        <x:v>466.61</x:v>
      </x:c>
      <x:c r="L8" s="80"/>
      <x:c r="M8" s="77"/>
      <x:c r="N8" s="29" t="str">
        <x:f>IF(A8="","",IF(L8&gt;=K8,"Paga",IF(L8&gt;0,"Paga parcialmente",IF(C8&lt;$A$5,"Vencida","Prevista"))))</x:f>
        <x:v>Prevista</x:v>
      </x:c>
      <x:c r="O8" s="29" t="n">
        <x:f>IF(A8="","",$A$5-C8)</x:f>
        <x:v>-9</x:v>
      </x:c>
      <x:c r="P8" s="131" t="n">
        <x:f>IF(A8="","",IF(AND(O8&gt;0,MAX(K8-L8,0)&gt;0,N8&lt;&gt;"Paga"),ROUND(MAX(K8-L8,0)*'Parâmetros'!$B$34,2),0))</x:f>
        <x:v>0</x:v>
      </x:c>
      <x:c r="Q8" s="131" t="n">
        <x:f>IF(A8="","",IF(AND(O8&gt;0,MAX(K8-L8,0)&gt;0,N8&lt;&gt;"Paga"),ROUND(MAX(K8-L8,0)*'Parâmetros'!$B$35*(O8/'Parâmetros'!$B$33),2),0))</x:f>
        <x:v>0</x:v>
      </x:c>
      <x:c r="R8" s="131" t="n">
        <x:f>IF(A8="","",IF(O8&gt;0,ROUND(MAX(K8-L8,0)+P8+Q8,2),0))</x:f>
        <x:v>0</x:v>
      </x:c>
      <x:c r="S8" s="131" t="n">
        <x:f>IF(A8="","",IF(OR(N8="Paga",O8&gt;0),0,ROUND(IF(K8=0,0,G8*MAX(K8-L8,0)/K8)/(1+'Parâmetros'!$C$13)^((C8-$A$5)/30),2)))</x:f>
        <x:v>78.77</x:v>
      </x:c>
      <x:c r="T8" s="131" t="n">
        <x:f>IF(A8="","",0)</x:f>
        <x:v>0</x:v>
      </x:c>
      <x:c r="U8" s="131" t="n">
        <x:f>IF(A8="","",0)</x:f>
        <x:v>0</x:v>
      </x:c>
      <x:c r="V8" s="131" t="n">
        <x:f>IF(A8="","",IF(N8="Paga",0,IF(O8&gt;0,R8,S8)))</x:f>
        <x:v>78.77</x:v>
      </x:c>
      <x:c r="W8" s="131" t="n">
        <x:f>IF(A8="","",ROUND(MAX(D8-F8,0),2))</x:f>
        <x:v>11216.69</x:v>
      </x:c>
      <x:c r="X8" s="131" t="n">
        <x:f>IF(A8="","",ROUND(SUM($G8:$G$407),2))</x:f>
        <x:v>16534.88</x:v>
      </x:c>
      <x:c r="Y8" s="131" t="n">
        <x:f>IF(A8="","",ROUND(MAX(X8-D8,0),2))</x:f>
        <x:v>5283.41</x:v>
      </x:c>
      <x:c r="Z8" s="131" t="n">
        <x:f>IF(A8="","",ROUND(SUM($V8:$V$407),2))</x:f>
        <x:v>11723.64</x:v>
      </x:c>
      <x:c r="AA8" s="131" t="n">
        <x:f>IF(A8="","",ROUND(SUM($K8:$K$407)-Z8,2))</x:f>
        <x:v>85796.65</x:v>
      </x:c>
      <x:c r="AB8" s="77"/>
      <x:c r="AC8" s="36" t="str">
        <x:f>IF(A8="","",IF(O8&gt;0,"Vencido: saldo da fatura + mora",IF(O8&lt;=0,"Vincendo: VP da parcela financeira; comissão/proteção futuras isentas","")))</x:f>
        <x:v>Vincendo: VP da parcela financeira; comissão/proteção futuras isentas</x:v>
      </x:c>
    </x:row>
    <x:row r="9">
      <x:c r="A9" s="129" t="n">
        <x:f>IF(ROW()-7&lt;=Contrato!$C$16,ROW()-7,"")</x:f>
        <x:v>2</x:v>
      </x:c>
      <x:c r="B9" s="129" t="n">
        <x:f>IF(A9="","",Contrato!$C$16)</x:f>
        <x:v>209</x:v>
      </x:c>
      <x:c r="C9" s="130" t="n">
        <x:f>IF(A9="","",IF(AB9&lt;&gt;"",AB9,IF(Contrato!$C$14="Mensal",EDATE(Contrato!$C$13,A9-1),Contrato!$C$13+(A9-1)*IF(Contrato!$C$14="Quinzenal",14,IF(Contrato!$C$14="Semanal",7,1)))))</x:f>
        <x:v>46276</x:v>
      </x:c>
      <x:c r="D9" s="131" t="n">
        <x:f>IF(A9="","",W8)</x:f>
        <x:v>11216.69</x:v>
      </x:c>
      <x:c r="E9" s="131" t="n">
        <x:f>IF(A9="","",ROUND(D9*Simulador!$I$18,2))</x:f>
        <x:v>44.21</x:v>
      </x:c>
      <x:c r="F9" s="131" t="n">
        <x:f>IF(A9="","",ROUND(MIN(D9,MAX(G9-E9,0)),2))</x:f>
        <x:v>34.91</x:v>
      </x:c>
      <x:c r="G9" s="131" t="n">
        <x:f>IF(A9="","",IF(A9&lt;Contrato!$C$16,Contrato!$C$27,Contrato!$C$28))</x:f>
        <x:v>79.12</x:v>
      </x:c>
      <x:c r="H9" s="131" t="n">
        <x:f>IF(A9="","",Contrato!$C$29)</x:f>
        <x:v>199.99</x:v>
      </x:c>
      <x:c r="I9" s="131" t="n">
        <x:f>IF(A9="","",Contrato!$C$30)</x:f>
        <x:v>187.5</x:v>
      </x:c>
      <x:c r="J9" s="131" t="n">
        <x:f>IF(A9="","",Contrato!$C$31)</x:f>
        <x:v>0</x:v>
      </x:c>
      <x:c r="K9" s="131" t="n">
        <x:f>IF(A9="","",ROUND(SUM(G9:J9),2))</x:f>
        <x:v>466.61</x:v>
      </x:c>
      <x:c r="L9" s="80"/>
      <x:c r="M9" s="77"/>
      <x:c r="N9" s="29" t="str">
        <x:f>IF(A9="","",IF(L9&gt;=K9,"Paga",IF(L9&gt;0,"Paga parcialmente",IF(C9&lt;$A$5,"Vencida","Prevista"))))</x:f>
        <x:v>Prevista</x:v>
      </x:c>
      <x:c r="O9" s="29" t="n">
        <x:f>IF(A9="","",$A$5-C9)</x:f>
        <x:v>-16</x:v>
      </x:c>
      <x:c r="P9" s="131" t="n">
        <x:f>IF(A9="","",IF(AND(O9&gt;0,MAX(K9-L9,0)&gt;0,N9&lt;&gt;"Paga"),ROUND(MAX(K9-L9,0)*'Parâmetros'!$B$34,2),0))</x:f>
        <x:v>0</x:v>
      </x:c>
      <x:c r="Q9" s="131" t="n">
        <x:f>IF(A9="","",IF(AND(O9&gt;0,MAX(K9-L9,0)&gt;0,N9&lt;&gt;"Paga"),ROUND(MAX(K9-L9,0)*'Parâmetros'!$B$35*(O9/'Parâmetros'!$B$33),2),0))</x:f>
        <x:v>0</x:v>
      </x:c>
      <x:c r="R9" s="131" t="n">
        <x:f>IF(A9="","",IF(O9&gt;0,ROUND(MAX(K9-L9,0)+P9+Q9,2),0))</x:f>
        <x:v>0</x:v>
      </x:c>
      <x:c r="S9" s="131" t="n">
        <x:f>IF(A9="","",IF(OR(N9="Paga",O9&gt;0),0,ROUND(IF(K9=0,0,G9*MAX(K9-L9,0)/K9)/(1+'Parâmetros'!$C$13)^((C9-$A$5)/30),2)))</x:f>
        <x:v>78.49</x:v>
      </x:c>
      <x:c r="T9" s="131" t="n">
        <x:f>IF(A9="","",0)</x:f>
        <x:v>0</x:v>
      </x:c>
      <x:c r="U9" s="131" t="n">
        <x:f>IF(A9="","",0)</x:f>
        <x:v>0</x:v>
      </x:c>
      <x:c r="V9" s="131" t="n">
        <x:f>IF(A9="","",IF(N9="Paga",0,IF(O9&gt;0,R9,S9)))</x:f>
        <x:v>78.49</x:v>
      </x:c>
      <x:c r="W9" s="131" t="n">
        <x:f>IF(A9="","",ROUND(MAX(D9-F9,0),2))</x:f>
        <x:v>11181.78</x:v>
      </x:c>
      <x:c r="X9" s="131" t="n">
        <x:f>IF(A9="","",ROUND(SUM($G9:$G$407),2))</x:f>
        <x:v>16455.76</x:v>
      </x:c>
      <x:c r="Y9" s="131" t="n">
        <x:f>IF(A9="","",ROUND(MAX(X9-D9,0),2))</x:f>
        <x:v>5239.07</x:v>
      </x:c>
      <x:c r="Z9" s="131" t="n">
        <x:f>IF(A9="","",ROUND(SUM($V9:$V$407),2))</x:f>
        <x:v>11644.87</x:v>
      </x:c>
      <x:c r="AA9" s="131" t="n">
        <x:f>IF(A9="","",ROUND(SUM($K9:$K$407)-Z9,2))</x:f>
        <x:v>85408.81</x:v>
      </x:c>
      <x:c r="AB9" s="77"/>
      <x:c r="AC9" s="36" t="str">
        <x:f>IF(A9="","",IF(O9&gt;0,"Vencido: saldo da fatura + mora",IF(O9&lt;=0,"Vincendo: VP da parcela financeira; comissão/proteção futuras isentas","")))</x:f>
        <x:v>Vincendo: VP da parcela financeira; comissão/proteção futuras isentas</x:v>
      </x:c>
    </x:row>
    <x:row r="10">
      <x:c r="A10" s="129" t="n">
        <x:f>IF(ROW()-7&lt;=Contrato!$C$16,ROW()-7,"")</x:f>
        <x:v>3</x:v>
      </x:c>
      <x:c r="B10" s="129" t="n">
        <x:f>IF(A10="","",Contrato!$C$16)</x:f>
        <x:v>209</x:v>
      </x:c>
      <x:c r="C10" s="130" t="n">
        <x:f>IF(A10="","",IF(AB10&lt;&gt;"",AB10,IF(Contrato!$C$14="Mensal",EDATE(Contrato!$C$13,A10-1),Contrato!$C$13+(A10-1)*IF(Contrato!$C$14="Quinzenal",14,IF(Contrato!$C$14="Semanal",7,1)))))</x:f>
        <x:v>46283</x:v>
      </x:c>
      <x:c r="D10" s="131" t="n">
        <x:f>IF(A10="","",W9)</x:f>
        <x:v>11181.78</x:v>
      </x:c>
      <x:c r="E10" s="131" t="n">
        <x:f>IF(A10="","",ROUND(D10*Simulador!$I$18,2))</x:f>
        <x:v>44.07</x:v>
      </x:c>
      <x:c r="F10" s="131" t="n">
        <x:f>IF(A10="","",ROUND(MIN(D10,MAX(G10-E10,0)),2))</x:f>
        <x:v>35.05</x:v>
      </x:c>
      <x:c r="G10" s="131" t="n">
        <x:f>IF(A10="","",IF(A10&lt;Contrato!$C$16,Contrato!$C$27,Contrato!$C$28))</x:f>
        <x:v>79.12</x:v>
      </x:c>
      <x:c r="H10" s="131" t="n">
        <x:f>IF(A10="","",Contrato!$C$29)</x:f>
        <x:v>199.99</x:v>
      </x:c>
      <x:c r="I10" s="131" t="n">
        <x:f>IF(A10="","",Contrato!$C$30)</x:f>
        <x:v>187.5</x:v>
      </x:c>
      <x:c r="J10" s="131" t="n">
        <x:f>IF(A10="","",Contrato!$C$31)</x:f>
        <x:v>0</x:v>
      </x:c>
      <x:c r="K10" s="131" t="n">
        <x:f>IF(A10="","",ROUND(SUM(G10:J10),2))</x:f>
        <x:v>466.61</x:v>
      </x:c>
      <x:c r="L10" s="80"/>
      <x:c r="M10" s="77"/>
      <x:c r="N10" s="29" t="str">
        <x:f>IF(A10="","",IF(L10&gt;=K10,"Paga",IF(L10&gt;0,"Paga parcialmente",IF(C10&lt;$A$5,"Vencida","Prevista"))))</x:f>
        <x:v>Prevista</x:v>
      </x:c>
      <x:c r="O10" s="29" t="n">
        <x:f>IF(A10="","",$A$5-C10)</x:f>
        <x:v>-23</x:v>
      </x:c>
      <x:c r="P10" s="131" t="n">
        <x:f>IF(A10="","",IF(AND(O10&gt;0,MAX(K10-L10,0)&gt;0,N10&lt;&gt;"Paga"),ROUND(MAX(K10-L10,0)*'Parâmetros'!$B$34,2),0))</x:f>
        <x:v>0</x:v>
      </x:c>
      <x:c r="Q10" s="131" t="n">
        <x:f>IF(A10="","",IF(AND(O10&gt;0,MAX(K10-L10,0)&gt;0,N10&lt;&gt;"Paga"),ROUND(MAX(K10-L10,0)*'Parâmetros'!$B$35*(O10/'Parâmetros'!$B$33),2),0))</x:f>
        <x:v>0</x:v>
      </x:c>
      <x:c r="R10" s="131" t="n">
        <x:f>IF(A10="","",IF(O10&gt;0,ROUND(MAX(K10-L10,0)+P10+Q10,2),0))</x:f>
        <x:v>0</x:v>
      </x:c>
      <x:c r="S10" s="131" t="n">
        <x:f>IF(A10="","",IF(OR(N10="Paga",O10&gt;0),0,ROUND(IF(K10=0,0,G10*MAX(K10-L10,0)/K10)/(1+'Parâmetros'!$C$13)^((C10-$A$5)/30),2)))</x:f>
        <x:v>78.22</x:v>
      </x:c>
      <x:c r="T10" s="131" t="n">
        <x:f>IF(A10="","",0)</x:f>
        <x:v>0</x:v>
      </x:c>
      <x:c r="U10" s="131" t="n">
        <x:f>IF(A10="","",0)</x:f>
        <x:v>0</x:v>
      </x:c>
      <x:c r="V10" s="131" t="n">
        <x:f>IF(A10="","",IF(N10="Paga",0,IF(O10&gt;0,R10,S10)))</x:f>
        <x:v>78.22</x:v>
      </x:c>
      <x:c r="W10" s="131" t="n">
        <x:f>IF(A10="","",ROUND(MAX(D10-F10,0),2))</x:f>
        <x:v>11146.73</x:v>
      </x:c>
      <x:c r="X10" s="131" t="n">
        <x:f>IF(A10="","",ROUND(SUM($G10:$G$407),2))</x:f>
        <x:v>16376.64</x:v>
      </x:c>
      <x:c r="Y10" s="131" t="n">
        <x:f>IF(A10="","",ROUND(MAX(X10-D10,0),2))</x:f>
        <x:v>5194.86</x:v>
      </x:c>
      <x:c r="Z10" s="131" t="n">
        <x:f>IF(A10="","",ROUND(SUM($V10:$V$407),2))</x:f>
        <x:v>11566.38</x:v>
      </x:c>
      <x:c r="AA10" s="131" t="n">
        <x:f>IF(A10="","",ROUND(SUM($K10:$K$407)-Z10,2))</x:f>
        <x:v>85020.69</x:v>
      </x:c>
      <x:c r="AB10" s="77"/>
      <x:c r="AC10" s="36" t="str">
        <x:f>IF(A10="","",IF(O10&gt;0,"Vencido: saldo da fatura + mora",IF(O10&lt;=0,"Vincendo: VP da parcela financeira; comissão/proteção futuras isentas","")))</x:f>
        <x:v>Vincendo: VP da parcela financeira; comissão/proteção futuras isentas</x:v>
      </x:c>
    </x:row>
    <x:row r="11">
      <x:c r="A11" s="129" t="n">
        <x:f>IF(ROW()-7&lt;=Contrato!$C$16,ROW()-7,"")</x:f>
        <x:v>4</x:v>
      </x:c>
      <x:c r="B11" s="129" t="n">
        <x:f>IF(A11="","",Contrato!$C$16)</x:f>
        <x:v>209</x:v>
      </x:c>
      <x:c r="C11" s="130" t="n">
        <x:f>IF(A11="","",IF(AB11&lt;&gt;"",AB11,IF(Contrato!$C$14="Mensal",EDATE(Contrato!$C$13,A11-1),Contrato!$C$13+(A11-1)*IF(Contrato!$C$14="Quinzenal",14,IF(Contrato!$C$14="Semanal",7,1)))))</x:f>
        <x:v>46290</x:v>
      </x:c>
      <x:c r="D11" s="131" t="n">
        <x:f>IF(A11="","",W10)</x:f>
        <x:v>11146.73</x:v>
      </x:c>
      <x:c r="E11" s="131" t="n">
        <x:f>IF(A11="","",ROUND(D11*Simulador!$I$18,2))</x:f>
        <x:v>43.93</x:v>
      </x:c>
      <x:c r="F11" s="131" t="n">
        <x:f>IF(A11="","",ROUND(MIN(D11,MAX(G11-E11,0)),2))</x:f>
        <x:v>35.19</x:v>
      </x:c>
      <x:c r="G11" s="131" t="n">
        <x:f>IF(A11="","",IF(A11&lt;Contrato!$C$16,Contrato!$C$27,Contrato!$C$28))</x:f>
        <x:v>79.12</x:v>
      </x:c>
      <x:c r="H11" s="131" t="n">
        <x:f>IF(A11="","",Contrato!$C$29)</x:f>
        <x:v>199.99</x:v>
      </x:c>
      <x:c r="I11" s="131" t="n">
        <x:f>IF(A11="","",Contrato!$C$30)</x:f>
        <x:v>187.5</x:v>
      </x:c>
      <x:c r="J11" s="131" t="n">
        <x:f>IF(A11="","",Contrato!$C$31)</x:f>
        <x:v>0</x:v>
      </x:c>
      <x:c r="K11" s="131" t="n">
        <x:f>IF(A11="","",ROUND(SUM(G11:J11),2))</x:f>
        <x:v>466.61</x:v>
      </x:c>
      <x:c r="L11" s="80"/>
      <x:c r="M11" s="77"/>
      <x:c r="N11" s="29" t="str">
        <x:f>IF(A11="","",IF(L11&gt;=K11,"Paga",IF(L11&gt;0,"Paga parcialmente",IF(C11&lt;$A$5,"Vencida","Prevista"))))</x:f>
        <x:v>Prevista</x:v>
      </x:c>
      <x:c r="O11" s="29" t="n">
        <x:f>IF(A11="","",$A$5-C11)</x:f>
        <x:v>-30</x:v>
      </x:c>
      <x:c r="P11" s="131" t="n">
        <x:f>IF(A11="","",IF(AND(O11&gt;0,MAX(K11-L11,0)&gt;0,N11&lt;&gt;"Paga"),ROUND(MAX(K11-L11,0)*'Parâmetros'!$B$34,2),0))</x:f>
        <x:v>0</x:v>
      </x:c>
      <x:c r="Q11" s="131" t="n">
        <x:f>IF(A11="","",IF(AND(O11&gt;0,MAX(K11-L11,0)&gt;0,N11&lt;&gt;"Paga"),ROUND(MAX(K11-L11,0)*'Parâmetros'!$B$35*(O11/'Parâmetros'!$B$33),2),0))</x:f>
        <x:v>0</x:v>
      </x:c>
      <x:c r="R11" s="131" t="n">
        <x:f>IF(A11="","",IF(O11&gt;0,ROUND(MAX(K11-L11,0)+P11+Q11,2),0))</x:f>
        <x:v>0</x:v>
      </x:c>
      <x:c r="S11" s="131" t="n">
        <x:f>IF(A11="","",IF(OR(N11="Paga",O11&gt;0),0,ROUND(IF(K11=0,0,G11*MAX(K11-L11,0)/K11)/(1+'Parâmetros'!$C$13)^((C11-$A$5)/30),2)))</x:f>
        <x:v>77.95</x:v>
      </x:c>
      <x:c r="T11" s="131" t="n">
        <x:f>IF(A11="","",0)</x:f>
        <x:v>0</x:v>
      </x:c>
      <x:c r="U11" s="131" t="n">
        <x:f>IF(A11="","",0)</x:f>
        <x:v>0</x:v>
      </x:c>
      <x:c r="V11" s="131" t="n">
        <x:f>IF(A11="","",IF(N11="Paga",0,IF(O11&gt;0,R11,S11)))</x:f>
        <x:v>77.95</x:v>
      </x:c>
      <x:c r="W11" s="131" t="n">
        <x:f>IF(A11="","",ROUND(MAX(D11-F11,0),2))</x:f>
        <x:v>11111.54</x:v>
      </x:c>
      <x:c r="X11" s="131" t="n">
        <x:f>IF(A11="","",ROUND(SUM($G11:$G$407),2))</x:f>
        <x:v>16297.52</x:v>
      </x:c>
      <x:c r="Y11" s="131" t="n">
        <x:f>IF(A11="","",ROUND(MAX(X11-D11,0),2))</x:f>
        <x:v>5150.79</x:v>
      </x:c>
      <x:c r="Z11" s="131" t="n">
        <x:f>IF(A11="","",ROUND(SUM($V11:$V$407),2))</x:f>
        <x:v>11488.16</x:v>
      </x:c>
      <x:c r="AA11" s="131" t="n">
        <x:f>IF(A11="","",ROUND(SUM($K11:$K$407)-Z11,2))</x:f>
        <x:v>84632.3</x:v>
      </x:c>
      <x:c r="AB11" s="77"/>
      <x:c r="AC11" s="36" t="str">
        <x:f>IF(A11="","",IF(O11&gt;0,"Vencido: saldo da fatura + mora",IF(O11&lt;=0,"Vincendo: VP da parcela financeira; comissão/proteção futuras isentas","")))</x:f>
        <x:v>Vincendo: VP da parcela financeira; comissão/proteção futuras isentas</x:v>
      </x:c>
    </x:row>
    <x:row r="12">
      <x:c r="A12" s="129" t="n">
        <x:f>IF(ROW()-7&lt;=Contrato!$C$16,ROW()-7,"")</x:f>
        <x:v>5</x:v>
      </x:c>
      <x:c r="B12" s="129" t="n">
        <x:f>IF(A12="","",Contrato!$C$16)</x:f>
        <x:v>209</x:v>
      </x:c>
      <x:c r="C12" s="130" t="n">
        <x:f>IF(A12="","",IF(AB12&lt;&gt;"",AB12,IF(Contrato!$C$14="Mensal",EDATE(Contrato!$C$13,A12-1),Contrato!$C$13+(A12-1)*IF(Contrato!$C$14="Quinzenal",14,IF(Contrato!$C$14="Semanal",7,1)))))</x:f>
        <x:v>46297</x:v>
      </x:c>
      <x:c r="D12" s="131" t="n">
        <x:f>IF(A12="","",W11)</x:f>
        <x:v>11111.54</x:v>
      </x:c>
      <x:c r="E12" s="131" t="n">
        <x:f>IF(A12="","",ROUND(D12*Simulador!$I$18,2))</x:f>
        <x:v>43.79</x:v>
      </x:c>
      <x:c r="F12" s="131" t="n">
        <x:f>IF(A12="","",ROUND(MIN(D12,MAX(G12-E12,0)),2))</x:f>
        <x:v>35.33</x:v>
      </x:c>
      <x:c r="G12" s="131" t="n">
        <x:f>IF(A12="","",IF(A12&lt;Contrato!$C$16,Contrato!$C$27,Contrato!$C$28))</x:f>
        <x:v>79.12</x:v>
      </x:c>
      <x:c r="H12" s="131" t="n">
        <x:f>IF(A12="","",Contrato!$C$29)</x:f>
        <x:v>199.99</x:v>
      </x:c>
      <x:c r="I12" s="131" t="n">
        <x:f>IF(A12="","",Contrato!$C$30)</x:f>
        <x:v>187.5</x:v>
      </x:c>
      <x:c r="J12" s="131" t="n">
        <x:f>IF(A12="","",Contrato!$C$31)</x:f>
        <x:v>0</x:v>
      </x:c>
      <x:c r="K12" s="131" t="n">
        <x:f>IF(A12="","",ROUND(SUM(G12:J12),2))</x:f>
        <x:v>466.61</x:v>
      </x:c>
      <x:c r="L12" s="80"/>
      <x:c r="M12" s="77"/>
      <x:c r="N12" s="29" t="str">
        <x:f>IF(A12="","",IF(L12&gt;=K12,"Paga",IF(L12&gt;0,"Paga parcialmente",IF(C12&lt;$A$5,"Vencida","Prevista"))))</x:f>
        <x:v>Prevista</x:v>
      </x:c>
      <x:c r="O12" s="29" t="n">
        <x:f>IF(A12="","",$A$5-C12)</x:f>
        <x:v>-37</x:v>
      </x:c>
      <x:c r="P12" s="131" t="n">
        <x:f>IF(A12="","",IF(AND(O12&gt;0,MAX(K12-L12,0)&gt;0,N12&lt;&gt;"Paga"),ROUND(MAX(K12-L12,0)*'Parâmetros'!$B$34,2),0))</x:f>
        <x:v>0</x:v>
      </x:c>
      <x:c r="Q12" s="131" t="n">
        <x:f>IF(A12="","",IF(AND(O12&gt;0,MAX(K12-L12,0)&gt;0,N12&lt;&gt;"Paga"),ROUND(MAX(K12-L12,0)*'Parâmetros'!$B$35*(O12/'Parâmetros'!$B$33),2),0))</x:f>
        <x:v>0</x:v>
      </x:c>
      <x:c r="R12" s="131" t="n">
        <x:f>IF(A12="","",IF(O12&gt;0,ROUND(MAX(K12-L12,0)+P12+Q12,2),0))</x:f>
        <x:v>0</x:v>
      </x:c>
      <x:c r="S12" s="131" t="n">
        <x:f>IF(A12="","",IF(OR(N12="Paga",O12&gt;0),0,ROUND(IF(K12=0,0,G12*MAX(K12-L12,0)/K12)/(1+'Parâmetros'!$C$13)^((C12-$A$5)/30),2)))</x:f>
        <x:v>77.68</x:v>
      </x:c>
      <x:c r="T12" s="131" t="n">
        <x:f>IF(A12="","",0)</x:f>
        <x:v>0</x:v>
      </x:c>
      <x:c r="U12" s="131" t="n">
        <x:f>IF(A12="","",0)</x:f>
        <x:v>0</x:v>
      </x:c>
      <x:c r="V12" s="131" t="n">
        <x:f>IF(A12="","",IF(N12="Paga",0,IF(O12&gt;0,R12,S12)))</x:f>
        <x:v>77.68</x:v>
      </x:c>
      <x:c r="W12" s="131" t="n">
        <x:f>IF(A12="","",ROUND(MAX(D12-F12,0),2))</x:f>
        <x:v>11076.21</x:v>
      </x:c>
      <x:c r="X12" s="131" t="n">
        <x:f>IF(A12="","",ROUND(SUM($G12:$G$407),2))</x:f>
        <x:v>16218.4</x:v>
      </x:c>
      <x:c r="Y12" s="131" t="n">
        <x:f>IF(A12="","",ROUND(MAX(X12-D12,0),2))</x:f>
        <x:v>5106.86</x:v>
      </x:c>
      <x:c r="Z12" s="131" t="n">
        <x:f>IF(A12="","",ROUND(SUM($V12:$V$407),2))</x:f>
        <x:v>11410.21</x:v>
      </x:c>
      <x:c r="AA12" s="131" t="n">
        <x:f>IF(A12="","",ROUND(SUM($K12:$K$407)-Z12,2))</x:f>
        <x:v>84243.64</x:v>
      </x:c>
      <x:c r="AB12" s="77"/>
      <x:c r="AC12" s="36" t="str">
        <x:f>IF(A12="","",IF(O12&gt;0,"Vencido: saldo da fatura + mora",IF(O12&lt;=0,"Vincendo: VP da parcela financeira; comissão/proteção futuras isentas","")))</x:f>
        <x:v>Vincendo: VP da parcela financeira; comissão/proteção futuras isentas</x:v>
      </x:c>
    </x:row>
    <x:row r="13">
      <x:c r="A13" s="129" t="n">
        <x:f>IF(ROW()-7&lt;=Contrato!$C$16,ROW()-7,"")</x:f>
        <x:v>6</x:v>
      </x:c>
      <x:c r="B13" s="129" t="n">
        <x:f>IF(A13="","",Contrato!$C$16)</x:f>
        <x:v>209</x:v>
      </x:c>
      <x:c r="C13" s="130" t="n">
        <x:f>IF(A13="","",IF(AB13&lt;&gt;"",AB13,IF(Contrato!$C$14="Mensal",EDATE(Contrato!$C$13,A13-1),Contrato!$C$13+(A13-1)*IF(Contrato!$C$14="Quinzenal",14,IF(Contrato!$C$14="Semanal",7,1)))))</x:f>
        <x:v>46304</x:v>
      </x:c>
      <x:c r="D13" s="131" t="n">
        <x:f>IF(A13="","",W12)</x:f>
        <x:v>11076.21</x:v>
      </x:c>
      <x:c r="E13" s="131" t="n">
        <x:f>IF(A13="","",ROUND(D13*Simulador!$I$18,2))</x:f>
        <x:v>43.65</x:v>
      </x:c>
      <x:c r="F13" s="131" t="n">
        <x:f>IF(A13="","",ROUND(MIN(D13,MAX(G13-E13,0)),2))</x:f>
        <x:v>35.47</x:v>
      </x:c>
      <x:c r="G13" s="131" t="n">
        <x:f>IF(A13="","",IF(A13&lt;Contrato!$C$16,Contrato!$C$27,Contrato!$C$28))</x:f>
        <x:v>79.12</x:v>
      </x:c>
      <x:c r="H13" s="131" t="n">
        <x:f>IF(A13="","",Contrato!$C$29)</x:f>
        <x:v>199.99</x:v>
      </x:c>
      <x:c r="I13" s="131" t="n">
        <x:f>IF(A13="","",Contrato!$C$30)</x:f>
        <x:v>187.5</x:v>
      </x:c>
      <x:c r="J13" s="131" t="n">
        <x:f>IF(A13="","",Contrato!$C$31)</x:f>
        <x:v>0</x:v>
      </x:c>
      <x:c r="K13" s="131" t="n">
        <x:f>IF(A13="","",ROUND(SUM(G13:J13),2))</x:f>
        <x:v>466.61</x:v>
      </x:c>
      <x:c r="L13" s="80"/>
      <x:c r="M13" s="77"/>
      <x:c r="N13" s="29" t="str">
        <x:f>IF(A13="","",IF(L13&gt;=K13,"Paga",IF(L13&gt;0,"Paga parcialmente",IF(C13&lt;$A$5,"Vencida","Prevista"))))</x:f>
        <x:v>Prevista</x:v>
      </x:c>
      <x:c r="O13" s="29" t="n">
        <x:f>IF(A13="","",$A$5-C13)</x:f>
        <x:v>-44</x:v>
      </x:c>
      <x:c r="P13" s="131" t="n">
        <x:f>IF(A13="","",IF(AND(O13&gt;0,MAX(K13-L13,0)&gt;0,N13&lt;&gt;"Paga"),ROUND(MAX(K13-L13,0)*'Parâmetros'!$B$34,2),0))</x:f>
        <x:v>0</x:v>
      </x:c>
      <x:c r="Q13" s="131" t="n">
        <x:f>IF(A13="","",IF(AND(O13&gt;0,MAX(K13-L13,0)&gt;0,N13&lt;&gt;"Paga"),ROUND(MAX(K13-L13,0)*'Parâmetros'!$B$35*(O13/'Parâmetros'!$B$33),2),0))</x:f>
        <x:v>0</x:v>
      </x:c>
      <x:c r="R13" s="131" t="n">
        <x:f>IF(A13="","",IF(O13&gt;0,ROUND(MAX(K13-L13,0)+P13+Q13,2),0))</x:f>
        <x:v>0</x:v>
      </x:c>
      <x:c r="S13" s="131" t="n">
        <x:f>IF(A13="","",IF(OR(N13="Paga",O13&gt;0),0,ROUND(IF(K13=0,0,G13*MAX(K13-L13,0)/K13)/(1+'Parâmetros'!$C$13)^((C13-$A$5)/30),2)))</x:f>
        <x:v>77.41</x:v>
      </x:c>
      <x:c r="T13" s="131" t="n">
        <x:f>IF(A13="","",0)</x:f>
        <x:v>0</x:v>
      </x:c>
      <x:c r="U13" s="131" t="n">
        <x:f>IF(A13="","",0)</x:f>
        <x:v>0</x:v>
      </x:c>
      <x:c r="V13" s="131" t="n">
        <x:f>IF(A13="","",IF(N13="Paga",0,IF(O13&gt;0,R13,S13)))</x:f>
        <x:v>77.41</x:v>
      </x:c>
      <x:c r="W13" s="131" t="n">
        <x:f>IF(A13="","",ROUND(MAX(D13-F13,0),2))</x:f>
        <x:v>11040.74</x:v>
      </x:c>
      <x:c r="X13" s="131" t="n">
        <x:f>IF(A13="","",ROUND(SUM($G13:$G$407),2))</x:f>
        <x:v>16139.28</x:v>
      </x:c>
      <x:c r="Y13" s="131" t="n">
        <x:f>IF(A13="","",ROUND(MAX(X13-D13,0),2))</x:f>
        <x:v>5063.07</x:v>
      </x:c>
      <x:c r="Z13" s="131" t="n">
        <x:f>IF(A13="","",ROUND(SUM($V13:$V$407),2))</x:f>
        <x:v>11332.53</x:v>
      </x:c>
      <x:c r="AA13" s="131" t="n">
        <x:f>IF(A13="","",ROUND(SUM($K13:$K$407)-Z13,2))</x:f>
        <x:v>83854.71</x:v>
      </x:c>
      <x:c r="AB13" s="77"/>
      <x:c r="AC13" s="36" t="str">
        <x:f>IF(A13="","",IF(O13&gt;0,"Vencido: saldo da fatura + mora",IF(O13&lt;=0,"Vincendo: VP da parcela financeira; comissão/proteção futuras isentas","")))</x:f>
        <x:v>Vincendo: VP da parcela financeira; comissão/proteção futuras isentas</x:v>
      </x:c>
    </x:row>
    <x:row r="14">
      <x:c r="A14" s="129" t="n">
        <x:f>IF(ROW()-7&lt;=Contrato!$C$16,ROW()-7,"")</x:f>
        <x:v>7</x:v>
      </x:c>
      <x:c r="B14" s="129" t="n">
        <x:f>IF(A14="","",Contrato!$C$16)</x:f>
        <x:v>209</x:v>
      </x:c>
      <x:c r="C14" s="130" t="n">
        <x:f>IF(A14="","",IF(AB14&lt;&gt;"",AB14,IF(Contrato!$C$14="Mensal",EDATE(Contrato!$C$13,A14-1),Contrato!$C$13+(A14-1)*IF(Contrato!$C$14="Quinzenal",14,IF(Contrato!$C$14="Semanal",7,1)))))</x:f>
        <x:v>46311</x:v>
      </x:c>
      <x:c r="D14" s="131" t="n">
        <x:f>IF(A14="","",W13)</x:f>
        <x:v>11040.74</x:v>
      </x:c>
      <x:c r="E14" s="131" t="n">
        <x:f>IF(A14="","",ROUND(D14*Simulador!$I$18,2))</x:f>
        <x:v>43.51</x:v>
      </x:c>
      <x:c r="F14" s="131" t="n">
        <x:f>IF(A14="","",ROUND(MIN(D14,MAX(G14-E14,0)),2))</x:f>
        <x:v>35.61</x:v>
      </x:c>
      <x:c r="G14" s="131" t="n">
        <x:f>IF(A14="","",IF(A14&lt;Contrato!$C$16,Contrato!$C$27,Contrato!$C$28))</x:f>
        <x:v>79.12</x:v>
      </x:c>
      <x:c r="H14" s="131" t="n">
        <x:f>IF(A14="","",Contrato!$C$29)</x:f>
        <x:v>199.99</x:v>
      </x:c>
      <x:c r="I14" s="131" t="n">
        <x:f>IF(A14="","",Contrato!$C$30)</x:f>
        <x:v>187.5</x:v>
      </x:c>
      <x:c r="J14" s="131" t="n">
        <x:f>IF(A14="","",Contrato!$C$31)</x:f>
        <x:v>0</x:v>
      </x:c>
      <x:c r="K14" s="131" t="n">
        <x:f>IF(A14="","",ROUND(SUM(G14:J14),2))</x:f>
        <x:v>466.61</x:v>
      </x:c>
      <x:c r="L14" s="80"/>
      <x:c r="M14" s="77"/>
      <x:c r="N14" s="29" t="str">
        <x:f>IF(A14="","",IF(L14&gt;=K14,"Paga",IF(L14&gt;0,"Paga parcialmente",IF(C14&lt;$A$5,"Vencida","Prevista"))))</x:f>
        <x:v>Prevista</x:v>
      </x:c>
      <x:c r="O14" s="29" t="n">
        <x:f>IF(A14="","",$A$5-C14)</x:f>
        <x:v>-51</x:v>
      </x:c>
      <x:c r="P14" s="131" t="n">
        <x:f>IF(A14="","",IF(AND(O14&gt;0,MAX(K14-L14,0)&gt;0,N14&lt;&gt;"Paga"),ROUND(MAX(K14-L14,0)*'Parâmetros'!$B$34,2),0))</x:f>
        <x:v>0</x:v>
      </x:c>
      <x:c r="Q14" s="131" t="n">
        <x:f>IF(A14="","",IF(AND(O14&gt;0,MAX(K14-L14,0)&gt;0,N14&lt;&gt;"Paga"),ROUND(MAX(K14-L14,0)*'Parâmetros'!$B$35*(O14/'Parâmetros'!$B$33),2),0))</x:f>
        <x:v>0</x:v>
      </x:c>
      <x:c r="R14" s="131" t="n">
        <x:f>IF(A14="","",IF(O14&gt;0,ROUND(MAX(K14-L14,0)+P14+Q14,2),0))</x:f>
        <x:v>0</x:v>
      </x:c>
      <x:c r="S14" s="131" t="n">
        <x:f>IF(A14="","",IF(OR(N14="Paga",O14&gt;0),0,ROUND(IF(K14=0,0,G14*MAX(K14-L14,0)/K14)/(1+'Parâmetros'!$C$13)^((C14-$A$5)/30),2)))</x:f>
        <x:v>77.14</x:v>
      </x:c>
      <x:c r="T14" s="131" t="n">
        <x:f>IF(A14="","",0)</x:f>
        <x:v>0</x:v>
      </x:c>
      <x:c r="U14" s="131" t="n">
        <x:f>IF(A14="","",0)</x:f>
        <x:v>0</x:v>
      </x:c>
      <x:c r="V14" s="131" t="n">
        <x:f>IF(A14="","",IF(N14="Paga",0,IF(O14&gt;0,R14,S14)))</x:f>
        <x:v>77.14</x:v>
      </x:c>
      <x:c r="W14" s="131" t="n">
        <x:f>IF(A14="","",ROUND(MAX(D14-F14,0),2))</x:f>
        <x:v>11005.13</x:v>
      </x:c>
      <x:c r="X14" s="131" t="n">
        <x:f>IF(A14="","",ROUND(SUM($G14:$G$407),2))</x:f>
        <x:v>16060.16</x:v>
      </x:c>
      <x:c r="Y14" s="131" t="n">
        <x:f>IF(A14="","",ROUND(MAX(X14-D14,0),2))</x:f>
        <x:v>5019.42</x:v>
      </x:c>
      <x:c r="Z14" s="131" t="n">
        <x:f>IF(A14="","",ROUND(SUM($V14:$V$407),2))</x:f>
        <x:v>11255.12</x:v>
      </x:c>
      <x:c r="AA14" s="131" t="n">
        <x:f>IF(A14="","",ROUND(SUM($K14:$K$407)-Z14,2))</x:f>
        <x:v>83465.51</x:v>
      </x:c>
      <x:c r="AB14" s="77"/>
      <x:c r="AC14" s="36" t="str">
        <x:f>IF(A14="","",IF(O14&gt;0,"Vencido: saldo da fatura + mora",IF(O14&lt;=0,"Vincendo: VP da parcela financeira; comissão/proteção futuras isentas","")))</x:f>
        <x:v>Vincendo: VP da parcela financeira; comissão/proteção futuras isentas</x:v>
      </x:c>
    </x:row>
    <x:row r="15">
      <x:c r="A15" s="129" t="n">
        <x:f>IF(ROW()-7&lt;=Contrato!$C$16,ROW()-7,"")</x:f>
        <x:v>8</x:v>
      </x:c>
      <x:c r="B15" s="129" t="n">
        <x:f>IF(A15="","",Contrato!$C$16)</x:f>
        <x:v>209</x:v>
      </x:c>
      <x:c r="C15" s="130" t="n">
        <x:f>IF(A15="","",IF(AB15&lt;&gt;"",AB15,IF(Contrato!$C$14="Mensal",EDATE(Contrato!$C$13,A15-1),Contrato!$C$13+(A15-1)*IF(Contrato!$C$14="Quinzenal",14,IF(Contrato!$C$14="Semanal",7,1)))))</x:f>
        <x:v>46318</x:v>
      </x:c>
      <x:c r="D15" s="131" t="n">
        <x:f>IF(A15="","",W14)</x:f>
        <x:v>11005.13</x:v>
      </x:c>
      <x:c r="E15" s="131" t="n">
        <x:f>IF(A15="","",ROUND(D15*Simulador!$I$18,2))</x:f>
        <x:v>43.37</x:v>
      </x:c>
      <x:c r="F15" s="131" t="n">
        <x:f>IF(A15="","",ROUND(MIN(D15,MAX(G15-E15,0)),2))</x:f>
        <x:v>35.75</x:v>
      </x:c>
      <x:c r="G15" s="131" t="n">
        <x:f>IF(A15="","",IF(A15&lt;Contrato!$C$16,Contrato!$C$27,Contrato!$C$28))</x:f>
        <x:v>79.12</x:v>
      </x:c>
      <x:c r="H15" s="131" t="n">
        <x:f>IF(A15="","",Contrato!$C$29)</x:f>
        <x:v>199.99</x:v>
      </x:c>
      <x:c r="I15" s="131" t="n">
        <x:f>IF(A15="","",Contrato!$C$30)</x:f>
        <x:v>187.5</x:v>
      </x:c>
      <x:c r="J15" s="131" t="n">
        <x:f>IF(A15="","",Contrato!$C$31)</x:f>
        <x:v>0</x:v>
      </x:c>
      <x:c r="K15" s="131" t="n">
        <x:f>IF(A15="","",ROUND(SUM(G15:J15),2))</x:f>
        <x:v>466.61</x:v>
      </x:c>
      <x:c r="L15" s="80"/>
      <x:c r="M15" s="77"/>
      <x:c r="N15" s="29" t="str">
        <x:f>IF(A15="","",IF(L15&gt;=K15,"Paga",IF(L15&gt;0,"Paga parcialmente",IF(C15&lt;$A$5,"Vencida","Prevista"))))</x:f>
        <x:v>Prevista</x:v>
      </x:c>
      <x:c r="O15" s="29" t="n">
        <x:f>IF(A15="","",$A$5-C15)</x:f>
        <x:v>-58</x:v>
      </x:c>
      <x:c r="P15" s="131" t="n">
        <x:f>IF(A15="","",IF(AND(O15&gt;0,MAX(K15-L15,0)&gt;0,N15&lt;&gt;"Paga"),ROUND(MAX(K15-L15,0)*'Parâmetros'!$B$34,2),0))</x:f>
        <x:v>0</x:v>
      </x:c>
      <x:c r="Q15" s="131" t="n">
        <x:f>IF(A15="","",IF(AND(O15&gt;0,MAX(K15-L15,0)&gt;0,N15&lt;&gt;"Paga"),ROUND(MAX(K15-L15,0)*'Parâmetros'!$B$35*(O15/'Parâmetros'!$B$33),2),0))</x:f>
        <x:v>0</x:v>
      </x:c>
      <x:c r="R15" s="131" t="n">
        <x:f>IF(A15="","",IF(O15&gt;0,ROUND(MAX(K15-L15,0)+P15+Q15,2),0))</x:f>
        <x:v>0</x:v>
      </x:c>
      <x:c r="S15" s="131" t="n">
        <x:f>IF(A15="","",IF(OR(N15="Paga",O15&gt;0),0,ROUND(IF(K15=0,0,G15*MAX(K15-L15,0)/K15)/(1+'Parâmetros'!$C$13)^((C15-$A$5)/30),2)))</x:f>
        <x:v>76.88</x:v>
      </x:c>
      <x:c r="T15" s="131" t="n">
        <x:f>IF(A15="","",0)</x:f>
        <x:v>0</x:v>
      </x:c>
      <x:c r="U15" s="131" t="n">
        <x:f>IF(A15="","",0)</x:f>
        <x:v>0</x:v>
      </x:c>
      <x:c r="V15" s="131" t="n">
        <x:f>IF(A15="","",IF(N15="Paga",0,IF(O15&gt;0,R15,S15)))</x:f>
        <x:v>76.88</x:v>
      </x:c>
      <x:c r="W15" s="131" t="n">
        <x:f>IF(A15="","",ROUND(MAX(D15-F15,0),2))</x:f>
        <x:v>10969.38</x:v>
      </x:c>
      <x:c r="X15" s="131" t="n">
        <x:f>IF(A15="","",ROUND(SUM($G15:$G$407),2))</x:f>
        <x:v>15981.04</x:v>
      </x:c>
      <x:c r="Y15" s="131" t="n">
        <x:f>IF(A15="","",ROUND(MAX(X15-D15,0),2))</x:f>
        <x:v>4975.91</x:v>
      </x:c>
      <x:c r="Z15" s="131" t="n">
        <x:f>IF(A15="","",ROUND(SUM($V15:$V$407),2))</x:f>
        <x:v>11177.98</x:v>
      </x:c>
      <x:c r="AA15" s="131" t="n">
        <x:f>IF(A15="","",ROUND(SUM($K15:$K$407)-Z15,2))</x:f>
        <x:v>83076.04</x:v>
      </x:c>
      <x:c r="AB15" s="77"/>
      <x:c r="AC15" s="36" t="str">
        <x:f>IF(A15="","",IF(O15&gt;0,"Vencido: saldo da fatura + mora",IF(O15&lt;=0,"Vincendo: VP da parcela financeira; comissão/proteção futuras isentas","")))</x:f>
        <x:v>Vincendo: VP da parcela financeira; comissão/proteção futuras isentas</x:v>
      </x:c>
    </x:row>
    <x:row r="16">
      <x:c r="A16" s="129" t="n">
        <x:f>IF(ROW()-7&lt;=Contrato!$C$16,ROW()-7,"")</x:f>
        <x:v>9</x:v>
      </x:c>
      <x:c r="B16" s="129" t="n">
        <x:f>IF(A16="","",Contrato!$C$16)</x:f>
        <x:v>209</x:v>
      </x:c>
      <x:c r="C16" s="130" t="n">
        <x:f>IF(A16="","",IF(AB16&lt;&gt;"",AB16,IF(Contrato!$C$14="Mensal",EDATE(Contrato!$C$13,A16-1),Contrato!$C$13+(A16-1)*IF(Contrato!$C$14="Quinzenal",14,IF(Contrato!$C$14="Semanal",7,1)))))</x:f>
        <x:v>46325</x:v>
      </x:c>
      <x:c r="D16" s="131" t="n">
        <x:f>IF(A16="","",W15)</x:f>
        <x:v>10969.38</x:v>
      </x:c>
      <x:c r="E16" s="131" t="n">
        <x:f>IF(A16="","",ROUND(D16*Simulador!$I$18,2))</x:f>
        <x:v>43.23</x:v>
      </x:c>
      <x:c r="F16" s="131" t="n">
        <x:f>IF(A16="","",ROUND(MIN(D16,MAX(G16-E16,0)),2))</x:f>
        <x:v>35.89</x:v>
      </x:c>
      <x:c r="G16" s="131" t="n">
        <x:f>IF(A16="","",IF(A16&lt;Contrato!$C$16,Contrato!$C$27,Contrato!$C$28))</x:f>
        <x:v>79.12</x:v>
      </x:c>
      <x:c r="H16" s="131" t="n">
        <x:f>IF(A16="","",Contrato!$C$29)</x:f>
        <x:v>199.99</x:v>
      </x:c>
      <x:c r="I16" s="131" t="n">
        <x:f>IF(A16="","",Contrato!$C$30)</x:f>
        <x:v>187.5</x:v>
      </x:c>
      <x:c r="J16" s="131" t="n">
        <x:f>IF(A16="","",Contrato!$C$31)</x:f>
        <x:v>0</x:v>
      </x:c>
      <x:c r="K16" s="131" t="n">
        <x:f>IF(A16="","",ROUND(SUM(G16:J16),2))</x:f>
        <x:v>466.61</x:v>
      </x:c>
      <x:c r="L16" s="80"/>
      <x:c r="M16" s="77"/>
      <x:c r="N16" s="29" t="str">
        <x:f>IF(A16="","",IF(L16&gt;=K16,"Paga",IF(L16&gt;0,"Paga parcialmente",IF(C16&lt;$A$5,"Vencida","Prevista"))))</x:f>
        <x:v>Prevista</x:v>
      </x:c>
      <x:c r="O16" s="29" t="n">
        <x:f>IF(A16="","",$A$5-C16)</x:f>
        <x:v>-65</x:v>
      </x:c>
      <x:c r="P16" s="131" t="n">
        <x:f>IF(A16="","",IF(AND(O16&gt;0,MAX(K16-L16,0)&gt;0,N16&lt;&gt;"Paga"),ROUND(MAX(K16-L16,0)*'Parâmetros'!$B$34,2),0))</x:f>
        <x:v>0</x:v>
      </x:c>
      <x:c r="Q16" s="131" t="n">
        <x:f>IF(A16="","",IF(AND(O16&gt;0,MAX(K16-L16,0)&gt;0,N16&lt;&gt;"Paga"),ROUND(MAX(K16-L16,0)*'Parâmetros'!$B$35*(O16/'Parâmetros'!$B$33),2),0))</x:f>
        <x:v>0</x:v>
      </x:c>
      <x:c r="R16" s="131" t="n">
        <x:f>IF(A16="","",IF(O16&gt;0,ROUND(MAX(K16-L16,0)+P16+Q16,2),0))</x:f>
        <x:v>0</x:v>
      </x:c>
      <x:c r="S16" s="131" t="n">
        <x:f>IF(A16="","",IF(OR(N16="Paga",O16&gt;0),0,ROUND(IF(K16=0,0,G16*MAX(K16-L16,0)/K16)/(1+'Parâmetros'!$C$13)^((C16-$A$5)/30),2)))</x:f>
        <x:v>76.61</x:v>
      </x:c>
      <x:c r="T16" s="131" t="n">
        <x:f>IF(A16="","",0)</x:f>
        <x:v>0</x:v>
      </x:c>
      <x:c r="U16" s="131" t="n">
        <x:f>IF(A16="","",0)</x:f>
        <x:v>0</x:v>
      </x:c>
      <x:c r="V16" s="131" t="n">
        <x:f>IF(A16="","",IF(N16="Paga",0,IF(O16&gt;0,R16,S16)))</x:f>
        <x:v>76.61</x:v>
      </x:c>
      <x:c r="W16" s="131" t="n">
        <x:f>IF(A16="","",ROUND(MAX(D16-F16,0),2))</x:f>
        <x:v>10933.49</x:v>
      </x:c>
      <x:c r="X16" s="131" t="n">
        <x:f>IF(A16="","",ROUND(SUM($G16:$G$407),2))</x:f>
        <x:v>15901.92</x:v>
      </x:c>
      <x:c r="Y16" s="131" t="n">
        <x:f>IF(A16="","",ROUND(MAX(X16-D16,0),2))</x:f>
        <x:v>4932.54</x:v>
      </x:c>
      <x:c r="Z16" s="131" t="n">
        <x:f>IF(A16="","",ROUND(SUM($V16:$V$407),2))</x:f>
        <x:v>11101.1</x:v>
      </x:c>
      <x:c r="AA16" s="131" t="n">
        <x:f>IF(A16="","",ROUND(SUM($K16:$K$407)-Z16,2))</x:f>
        <x:v>82686.31</x:v>
      </x:c>
      <x:c r="AB16" s="77"/>
      <x:c r="AC16" s="36" t="str">
        <x:f>IF(A16="","",IF(O16&gt;0,"Vencido: saldo da fatura + mora",IF(O16&lt;=0,"Vincendo: VP da parcela financeira; comissão/proteção futuras isentas","")))</x:f>
        <x:v>Vincendo: VP da parcela financeira; comissão/proteção futuras isentas</x:v>
      </x:c>
    </x:row>
    <x:row r="17">
      <x:c r="A17" s="129" t="n">
        <x:f>IF(ROW()-7&lt;=Contrato!$C$16,ROW()-7,"")</x:f>
        <x:v>10</x:v>
      </x:c>
      <x:c r="B17" s="129" t="n">
        <x:f>IF(A17="","",Contrato!$C$16)</x:f>
        <x:v>209</x:v>
      </x:c>
      <x:c r="C17" s="130" t="n">
        <x:f>IF(A17="","",IF(AB17&lt;&gt;"",AB17,IF(Contrato!$C$14="Mensal",EDATE(Contrato!$C$13,A17-1),Contrato!$C$13+(A17-1)*IF(Contrato!$C$14="Quinzenal",14,IF(Contrato!$C$14="Semanal",7,1)))))</x:f>
        <x:v>46332</x:v>
      </x:c>
      <x:c r="D17" s="131" t="n">
        <x:f>IF(A17="","",W16)</x:f>
        <x:v>10933.49</x:v>
      </x:c>
      <x:c r="E17" s="131" t="n">
        <x:f>IF(A17="","",ROUND(D17*Simulador!$I$18,2))</x:f>
        <x:v>43.09</x:v>
      </x:c>
      <x:c r="F17" s="131" t="n">
        <x:f>IF(A17="","",ROUND(MIN(D17,MAX(G17-E17,0)),2))</x:f>
        <x:v>36.03</x:v>
      </x:c>
      <x:c r="G17" s="131" t="n">
        <x:f>IF(A17="","",IF(A17&lt;Contrato!$C$16,Contrato!$C$27,Contrato!$C$28))</x:f>
        <x:v>79.12</x:v>
      </x:c>
      <x:c r="H17" s="131" t="n">
        <x:f>IF(A17="","",Contrato!$C$29)</x:f>
        <x:v>199.99</x:v>
      </x:c>
      <x:c r="I17" s="131" t="n">
        <x:f>IF(A17="","",Contrato!$C$30)</x:f>
        <x:v>187.5</x:v>
      </x:c>
      <x:c r="J17" s="131" t="n">
        <x:f>IF(A17="","",Contrato!$C$31)</x:f>
        <x:v>0</x:v>
      </x:c>
      <x:c r="K17" s="131" t="n">
        <x:f>IF(A17="","",ROUND(SUM(G17:J17),2))</x:f>
        <x:v>466.61</x:v>
      </x:c>
      <x:c r="L17" s="80"/>
      <x:c r="M17" s="77"/>
      <x:c r="N17" s="29" t="str">
        <x:f>IF(A17="","",IF(L17&gt;=K17,"Paga",IF(L17&gt;0,"Paga parcialmente",IF(C17&lt;$A$5,"Vencida","Prevista"))))</x:f>
        <x:v>Prevista</x:v>
      </x:c>
      <x:c r="O17" s="29" t="n">
        <x:f>IF(A17="","",$A$5-C17)</x:f>
        <x:v>-72</x:v>
      </x:c>
      <x:c r="P17" s="131" t="n">
        <x:f>IF(A17="","",IF(AND(O17&gt;0,MAX(K17-L17,0)&gt;0,N17&lt;&gt;"Paga"),ROUND(MAX(K17-L17,0)*'Parâmetros'!$B$34,2),0))</x:f>
        <x:v>0</x:v>
      </x:c>
      <x:c r="Q17" s="131" t="n">
        <x:f>IF(A17="","",IF(AND(O17&gt;0,MAX(K17-L17,0)&gt;0,N17&lt;&gt;"Paga"),ROUND(MAX(K17-L17,0)*'Parâmetros'!$B$35*(O17/'Parâmetros'!$B$33),2),0))</x:f>
        <x:v>0</x:v>
      </x:c>
      <x:c r="R17" s="131" t="n">
        <x:f>IF(A17="","",IF(O17&gt;0,ROUND(MAX(K17-L17,0)+P17+Q17,2),0))</x:f>
        <x:v>0</x:v>
      </x:c>
      <x:c r="S17" s="131" t="n">
        <x:f>IF(A17="","",IF(OR(N17="Paga",O17&gt;0),0,ROUND(IF(K17=0,0,G17*MAX(K17-L17,0)/K17)/(1+'Parâmetros'!$C$13)^((C17-$A$5)/30),2)))</x:f>
        <x:v>76.34</x:v>
      </x:c>
      <x:c r="T17" s="131" t="n">
        <x:f>IF(A17="","",0)</x:f>
        <x:v>0</x:v>
      </x:c>
      <x:c r="U17" s="131" t="n">
        <x:f>IF(A17="","",0)</x:f>
        <x:v>0</x:v>
      </x:c>
      <x:c r="V17" s="131" t="n">
        <x:f>IF(A17="","",IF(N17="Paga",0,IF(O17&gt;0,R17,S17)))</x:f>
        <x:v>76.34</x:v>
      </x:c>
      <x:c r="W17" s="131" t="n">
        <x:f>IF(A17="","",ROUND(MAX(D17-F17,0),2))</x:f>
        <x:v>10897.46</x:v>
      </x:c>
      <x:c r="X17" s="131" t="n">
        <x:f>IF(A17="","",ROUND(SUM($G17:$G$407),2))</x:f>
        <x:v>15822.8</x:v>
      </x:c>
      <x:c r="Y17" s="131" t="n">
        <x:f>IF(A17="","",ROUND(MAX(X17-D17,0),2))</x:f>
        <x:v>4889.31</x:v>
      </x:c>
      <x:c r="Z17" s="131" t="n">
        <x:f>IF(A17="","",ROUND(SUM($V17:$V$407),2))</x:f>
        <x:v>11024.49</x:v>
      </x:c>
      <x:c r="AA17" s="131" t="n">
        <x:f>IF(A17="","",ROUND(SUM($K17:$K$407)-Z17,2))</x:f>
        <x:v>82296.31</x:v>
      </x:c>
      <x:c r="AB17" s="77"/>
      <x:c r="AC17" s="36" t="str">
        <x:f>IF(A17="","",IF(O17&gt;0,"Vencido: saldo da fatura + mora",IF(O17&lt;=0,"Vincendo: VP da parcela financeira; comissão/proteção futuras isentas","")))</x:f>
        <x:v>Vincendo: VP da parcela financeira; comissão/proteção futuras isentas</x:v>
      </x:c>
    </x:row>
    <x:row r="18">
      <x:c r="A18" s="129" t="n">
        <x:f>IF(ROW()-7&lt;=Contrato!$C$16,ROW()-7,"")</x:f>
        <x:v>11</x:v>
      </x:c>
      <x:c r="B18" s="129" t="n">
        <x:f>IF(A18="","",Contrato!$C$16)</x:f>
        <x:v>209</x:v>
      </x:c>
      <x:c r="C18" s="130" t="n">
        <x:f>IF(A18="","",IF(AB18&lt;&gt;"",AB18,IF(Contrato!$C$14="Mensal",EDATE(Contrato!$C$13,A18-1),Contrato!$C$13+(A18-1)*IF(Contrato!$C$14="Quinzenal",14,IF(Contrato!$C$14="Semanal",7,1)))))</x:f>
        <x:v>46339</x:v>
      </x:c>
      <x:c r="D18" s="131" t="n">
        <x:f>IF(A18="","",W17)</x:f>
        <x:v>10897.46</x:v>
      </x:c>
      <x:c r="E18" s="131" t="n">
        <x:f>IF(A18="","",ROUND(D18*Simulador!$I$18,2))</x:f>
        <x:v>42.95</x:v>
      </x:c>
      <x:c r="F18" s="131" t="n">
        <x:f>IF(A18="","",ROUND(MIN(D18,MAX(G18-E18,0)),2))</x:f>
        <x:v>36.17</x:v>
      </x:c>
      <x:c r="G18" s="131" t="n">
        <x:f>IF(A18="","",IF(A18&lt;Contrato!$C$16,Contrato!$C$27,Contrato!$C$28))</x:f>
        <x:v>79.12</x:v>
      </x:c>
      <x:c r="H18" s="131" t="n">
        <x:f>IF(A18="","",Contrato!$C$29)</x:f>
        <x:v>199.99</x:v>
      </x:c>
      <x:c r="I18" s="131" t="n">
        <x:f>IF(A18="","",Contrato!$C$30)</x:f>
        <x:v>187.5</x:v>
      </x:c>
      <x:c r="J18" s="131" t="n">
        <x:f>IF(A18="","",Contrato!$C$31)</x:f>
        <x:v>0</x:v>
      </x:c>
      <x:c r="K18" s="131" t="n">
        <x:f>IF(A18="","",ROUND(SUM(G18:J18),2))</x:f>
        <x:v>466.61</x:v>
      </x:c>
      <x:c r="L18" s="80"/>
      <x:c r="M18" s="77"/>
      <x:c r="N18" s="29" t="str">
        <x:f>IF(A18="","",IF(L18&gt;=K18,"Paga",IF(L18&gt;0,"Paga parcialmente",IF(C18&lt;$A$5,"Vencida","Prevista"))))</x:f>
        <x:v>Prevista</x:v>
      </x:c>
      <x:c r="O18" s="29" t="n">
        <x:f>IF(A18="","",$A$5-C18)</x:f>
        <x:v>-79</x:v>
      </x:c>
      <x:c r="P18" s="131" t="n">
        <x:f>IF(A18="","",IF(AND(O18&gt;0,MAX(K18-L18,0)&gt;0,N18&lt;&gt;"Paga"),ROUND(MAX(K18-L18,0)*'Parâmetros'!$B$34,2),0))</x:f>
        <x:v>0</x:v>
      </x:c>
      <x:c r="Q18" s="131" t="n">
        <x:f>IF(A18="","",IF(AND(O18&gt;0,MAX(K18-L18,0)&gt;0,N18&lt;&gt;"Paga"),ROUND(MAX(K18-L18,0)*'Parâmetros'!$B$35*(O18/'Parâmetros'!$B$33),2),0))</x:f>
        <x:v>0</x:v>
      </x:c>
      <x:c r="R18" s="131" t="n">
        <x:f>IF(A18="","",IF(O18&gt;0,ROUND(MAX(K18-L18,0)+P18+Q18,2),0))</x:f>
        <x:v>0</x:v>
      </x:c>
      <x:c r="S18" s="131" t="n">
        <x:f>IF(A18="","",IF(OR(N18="Paga",O18&gt;0),0,ROUND(IF(K18=0,0,G18*MAX(K18-L18,0)/K18)/(1+'Parâmetros'!$C$13)^((C18-$A$5)/30),2)))</x:f>
        <x:v>76.08</x:v>
      </x:c>
      <x:c r="T18" s="131" t="n">
        <x:f>IF(A18="","",0)</x:f>
        <x:v>0</x:v>
      </x:c>
      <x:c r="U18" s="131" t="n">
        <x:f>IF(A18="","",0)</x:f>
        <x:v>0</x:v>
      </x:c>
      <x:c r="V18" s="131" t="n">
        <x:f>IF(A18="","",IF(N18="Paga",0,IF(O18&gt;0,R18,S18)))</x:f>
        <x:v>76.08</x:v>
      </x:c>
      <x:c r="W18" s="131" t="n">
        <x:f>IF(A18="","",ROUND(MAX(D18-F18,0),2))</x:f>
        <x:v>10861.29</x:v>
      </x:c>
      <x:c r="X18" s="131" t="n">
        <x:f>IF(A18="","",ROUND(SUM($G18:$G$407),2))</x:f>
        <x:v>15743.68</x:v>
      </x:c>
      <x:c r="Y18" s="131" t="n">
        <x:f>IF(A18="","",ROUND(MAX(X18-D18,0),2))</x:f>
        <x:v>4846.22</x:v>
      </x:c>
      <x:c r="Z18" s="131" t="n">
        <x:f>IF(A18="","",ROUND(SUM($V18:$V$407),2))</x:f>
        <x:v>10948.15</x:v>
      </x:c>
      <x:c r="AA18" s="131" t="n">
        <x:f>IF(A18="","",ROUND(SUM($K18:$K$407)-Z18,2))</x:f>
        <x:v>81906.04</x:v>
      </x:c>
      <x:c r="AB18" s="77"/>
      <x:c r="AC18" s="36" t="str">
        <x:f>IF(A18="","",IF(O18&gt;0,"Vencido: saldo da fatura + mora",IF(O18&lt;=0,"Vincendo: VP da parcela financeira; comissão/proteção futuras isentas","")))</x:f>
        <x:v>Vincendo: VP da parcela financeira; comissão/proteção futuras isentas</x:v>
      </x:c>
    </x:row>
    <x:row r="19">
      <x:c r="A19" s="129" t="n">
        <x:f>IF(ROW()-7&lt;=Contrato!$C$16,ROW()-7,"")</x:f>
        <x:v>12</x:v>
      </x:c>
      <x:c r="B19" s="129" t="n">
        <x:f>IF(A19="","",Contrato!$C$16)</x:f>
        <x:v>209</x:v>
      </x:c>
      <x:c r="C19" s="130" t="n">
        <x:f>IF(A19="","",IF(AB19&lt;&gt;"",AB19,IF(Contrato!$C$14="Mensal",EDATE(Contrato!$C$13,A19-1),Contrato!$C$13+(A19-1)*IF(Contrato!$C$14="Quinzenal",14,IF(Contrato!$C$14="Semanal",7,1)))))</x:f>
        <x:v>46346</x:v>
      </x:c>
      <x:c r="D19" s="131" t="n">
        <x:f>IF(A19="","",W18)</x:f>
        <x:v>10861.29</x:v>
      </x:c>
      <x:c r="E19" s="131" t="n">
        <x:f>IF(A19="","",ROUND(D19*Simulador!$I$18,2))</x:f>
        <x:v>42.81</x:v>
      </x:c>
      <x:c r="F19" s="131" t="n">
        <x:f>IF(A19="","",ROUND(MIN(D19,MAX(G19-E19,0)),2))</x:f>
        <x:v>36.31</x:v>
      </x:c>
      <x:c r="G19" s="131" t="n">
        <x:f>IF(A19="","",IF(A19&lt;Contrato!$C$16,Contrato!$C$27,Contrato!$C$28))</x:f>
        <x:v>79.12</x:v>
      </x:c>
      <x:c r="H19" s="131" t="n">
        <x:f>IF(A19="","",Contrato!$C$29)</x:f>
        <x:v>199.99</x:v>
      </x:c>
      <x:c r="I19" s="131" t="n">
        <x:f>IF(A19="","",Contrato!$C$30)</x:f>
        <x:v>187.5</x:v>
      </x:c>
      <x:c r="J19" s="131" t="n">
        <x:f>IF(A19="","",Contrato!$C$31)</x:f>
        <x:v>0</x:v>
      </x:c>
      <x:c r="K19" s="131" t="n">
        <x:f>IF(A19="","",ROUND(SUM(G19:J19),2))</x:f>
        <x:v>466.61</x:v>
      </x:c>
      <x:c r="L19" s="80"/>
      <x:c r="M19" s="77"/>
      <x:c r="N19" s="29" t="str">
        <x:f>IF(A19="","",IF(L19&gt;=K19,"Paga",IF(L19&gt;0,"Paga parcialmente",IF(C19&lt;$A$5,"Vencida","Prevista"))))</x:f>
        <x:v>Prevista</x:v>
      </x:c>
      <x:c r="O19" s="29" t="n">
        <x:f>IF(A19="","",$A$5-C19)</x:f>
        <x:v>-86</x:v>
      </x:c>
      <x:c r="P19" s="131" t="n">
        <x:f>IF(A19="","",IF(AND(O19&gt;0,MAX(K19-L19,0)&gt;0,N19&lt;&gt;"Paga"),ROUND(MAX(K19-L19,0)*'Parâmetros'!$B$34,2),0))</x:f>
        <x:v>0</x:v>
      </x:c>
      <x:c r="Q19" s="131" t="n">
        <x:f>IF(A19="","",IF(AND(O19&gt;0,MAX(K19-L19,0)&gt;0,N19&lt;&gt;"Paga"),ROUND(MAX(K19-L19,0)*'Parâmetros'!$B$35*(O19/'Parâmetros'!$B$33),2),0))</x:f>
        <x:v>0</x:v>
      </x:c>
      <x:c r="R19" s="131" t="n">
        <x:f>IF(A19="","",IF(O19&gt;0,ROUND(MAX(K19-L19,0)+P19+Q19,2),0))</x:f>
        <x:v>0</x:v>
      </x:c>
      <x:c r="S19" s="131" t="n">
        <x:f>IF(A19="","",IF(OR(N19="Paga",O19&gt;0),0,ROUND(IF(K19=0,0,G19*MAX(K19-L19,0)/K19)/(1+'Parâmetros'!$C$13)^((C19-$A$5)/30),2)))</x:f>
        <x:v>75.81</x:v>
      </x:c>
      <x:c r="T19" s="131" t="n">
        <x:f>IF(A19="","",0)</x:f>
        <x:v>0</x:v>
      </x:c>
      <x:c r="U19" s="131" t="n">
        <x:f>IF(A19="","",0)</x:f>
        <x:v>0</x:v>
      </x:c>
      <x:c r="V19" s="131" t="n">
        <x:f>IF(A19="","",IF(N19="Paga",0,IF(O19&gt;0,R19,S19)))</x:f>
        <x:v>75.81</x:v>
      </x:c>
      <x:c r="W19" s="131" t="n">
        <x:f>IF(A19="","",ROUND(MAX(D19-F19,0),2))</x:f>
        <x:v>10824.98</x:v>
      </x:c>
      <x:c r="X19" s="131" t="n">
        <x:f>IF(A19="","",ROUND(SUM($G19:$G$407),2))</x:f>
        <x:v>15664.56</x:v>
      </x:c>
      <x:c r="Y19" s="131" t="n">
        <x:f>IF(A19="","",ROUND(MAX(X19-D19,0),2))</x:f>
        <x:v>4803.27</x:v>
      </x:c>
      <x:c r="Z19" s="131" t="n">
        <x:f>IF(A19="","",ROUND(SUM($V19:$V$407),2))</x:f>
        <x:v>10872.07</x:v>
      </x:c>
      <x:c r="AA19" s="131" t="n">
        <x:f>IF(A19="","",ROUND(SUM($K19:$K$407)-Z19,2))</x:f>
        <x:v>81515.51</x:v>
      </x:c>
      <x:c r="AB19" s="77"/>
      <x:c r="AC19" s="36" t="str">
        <x:f>IF(A19="","",IF(O19&gt;0,"Vencido: saldo da fatura + mora",IF(O19&lt;=0,"Vincendo: VP da parcela financeira; comissão/proteção futuras isentas","")))</x:f>
        <x:v>Vincendo: VP da parcela financeira; comissão/proteção futuras isentas</x:v>
      </x:c>
    </x:row>
    <x:row r="20">
      <x:c r="A20" s="129" t="n">
        <x:f>IF(ROW()-7&lt;=Contrato!$C$16,ROW()-7,"")</x:f>
        <x:v>13</x:v>
      </x:c>
      <x:c r="B20" s="129" t="n">
        <x:f>IF(A20="","",Contrato!$C$16)</x:f>
        <x:v>209</x:v>
      </x:c>
      <x:c r="C20" s="130" t="n">
        <x:f>IF(A20="","",IF(AB20&lt;&gt;"",AB20,IF(Contrato!$C$14="Mensal",EDATE(Contrato!$C$13,A20-1),Contrato!$C$13+(A20-1)*IF(Contrato!$C$14="Quinzenal",14,IF(Contrato!$C$14="Semanal",7,1)))))</x:f>
        <x:v>46353</x:v>
      </x:c>
      <x:c r="D20" s="131" t="n">
        <x:f>IF(A20="","",W19)</x:f>
        <x:v>10824.98</x:v>
      </x:c>
      <x:c r="E20" s="131" t="n">
        <x:f>IF(A20="","",ROUND(D20*Simulador!$I$18,2))</x:f>
        <x:v>42.66</x:v>
      </x:c>
      <x:c r="F20" s="131" t="n">
        <x:f>IF(A20="","",ROUND(MIN(D20,MAX(G20-E20,0)),2))</x:f>
        <x:v>36.46</x:v>
      </x:c>
      <x:c r="G20" s="131" t="n">
        <x:f>IF(A20="","",IF(A20&lt;Contrato!$C$16,Contrato!$C$27,Contrato!$C$28))</x:f>
        <x:v>79.12</x:v>
      </x:c>
      <x:c r="H20" s="131" t="n">
        <x:f>IF(A20="","",Contrato!$C$29)</x:f>
        <x:v>199.99</x:v>
      </x:c>
      <x:c r="I20" s="131" t="n">
        <x:f>IF(A20="","",Contrato!$C$30)</x:f>
        <x:v>187.5</x:v>
      </x:c>
      <x:c r="J20" s="131" t="n">
        <x:f>IF(A20="","",Contrato!$C$31)</x:f>
        <x:v>0</x:v>
      </x:c>
      <x:c r="K20" s="131" t="n">
        <x:f>IF(A20="","",ROUND(SUM(G20:J20),2))</x:f>
        <x:v>466.61</x:v>
      </x:c>
      <x:c r="L20" s="80"/>
      <x:c r="M20" s="77"/>
      <x:c r="N20" s="29" t="str">
        <x:f>IF(A20="","",IF(L20&gt;=K20,"Paga",IF(L20&gt;0,"Paga parcialmente",IF(C20&lt;$A$5,"Vencida","Prevista"))))</x:f>
        <x:v>Prevista</x:v>
      </x:c>
      <x:c r="O20" s="29" t="n">
        <x:f>IF(A20="","",$A$5-C20)</x:f>
        <x:v>-93</x:v>
      </x:c>
      <x:c r="P20" s="131" t="n">
        <x:f>IF(A20="","",IF(AND(O20&gt;0,MAX(K20-L20,0)&gt;0,N20&lt;&gt;"Paga"),ROUND(MAX(K20-L20,0)*'Parâmetros'!$B$34,2),0))</x:f>
        <x:v>0</x:v>
      </x:c>
      <x:c r="Q20" s="131" t="n">
        <x:f>IF(A20="","",IF(AND(O20&gt;0,MAX(K20-L20,0)&gt;0,N20&lt;&gt;"Paga"),ROUND(MAX(K20-L20,0)*'Parâmetros'!$B$35*(O20/'Parâmetros'!$B$33),2),0))</x:f>
        <x:v>0</x:v>
      </x:c>
      <x:c r="R20" s="131" t="n">
        <x:f>IF(A20="","",IF(O20&gt;0,ROUND(MAX(K20-L20,0)+P20+Q20,2),0))</x:f>
        <x:v>0</x:v>
      </x:c>
      <x:c r="S20" s="131" t="n">
        <x:f>IF(A20="","",IF(OR(N20="Paga",O20&gt;0),0,ROUND(IF(K20=0,0,G20*MAX(K20-L20,0)/K20)/(1+'Parâmetros'!$C$13)^((C20-$A$5)/30),2)))</x:f>
        <x:v>75.55</x:v>
      </x:c>
      <x:c r="T20" s="131" t="n">
        <x:f>IF(A20="","",0)</x:f>
        <x:v>0</x:v>
      </x:c>
      <x:c r="U20" s="131" t="n">
        <x:f>IF(A20="","",0)</x:f>
        <x:v>0</x:v>
      </x:c>
      <x:c r="V20" s="131" t="n">
        <x:f>IF(A20="","",IF(N20="Paga",0,IF(O20&gt;0,R20,S20)))</x:f>
        <x:v>75.55</x:v>
      </x:c>
      <x:c r="W20" s="131" t="n">
        <x:f>IF(A20="","",ROUND(MAX(D20-F20,0),2))</x:f>
        <x:v>10788.52</x:v>
      </x:c>
      <x:c r="X20" s="131" t="n">
        <x:f>IF(A20="","",ROUND(SUM($G20:$G$407),2))</x:f>
        <x:v>15585.44</x:v>
      </x:c>
      <x:c r="Y20" s="131" t="n">
        <x:f>IF(A20="","",ROUND(MAX(X20-D20,0),2))</x:f>
        <x:v>4760.46</x:v>
      </x:c>
      <x:c r="Z20" s="131" t="n">
        <x:f>IF(A20="","",ROUND(SUM($V20:$V$407),2))</x:f>
        <x:v>10796.26</x:v>
      </x:c>
      <x:c r="AA20" s="131" t="n">
        <x:f>IF(A20="","",ROUND(SUM($K20:$K$407)-Z20,2))</x:f>
        <x:v>81124.71</x:v>
      </x:c>
      <x:c r="AB20" s="77"/>
      <x:c r="AC20" s="36" t="str">
        <x:f>IF(A20="","",IF(O20&gt;0,"Vencido: saldo da fatura + mora",IF(O20&lt;=0,"Vincendo: VP da parcela financeira; comissão/proteção futuras isentas","")))</x:f>
        <x:v>Vincendo: VP da parcela financeira; comissão/proteção futuras isentas</x:v>
      </x:c>
    </x:row>
    <x:row r="21">
      <x:c r="A21" s="129" t="n">
        <x:f>IF(ROW()-7&lt;=Contrato!$C$16,ROW()-7,"")</x:f>
        <x:v>14</x:v>
      </x:c>
      <x:c r="B21" s="129" t="n">
        <x:f>IF(A21="","",Contrato!$C$16)</x:f>
        <x:v>209</x:v>
      </x:c>
      <x:c r="C21" s="130" t="n">
        <x:f>IF(A21="","",IF(AB21&lt;&gt;"",AB21,IF(Contrato!$C$14="Mensal",EDATE(Contrato!$C$13,A21-1),Contrato!$C$13+(A21-1)*IF(Contrato!$C$14="Quinzenal",14,IF(Contrato!$C$14="Semanal",7,1)))))</x:f>
        <x:v>46360</x:v>
      </x:c>
      <x:c r="D21" s="131" t="n">
        <x:f>IF(A21="","",W20)</x:f>
        <x:v>10788.52</x:v>
      </x:c>
      <x:c r="E21" s="131" t="n">
        <x:f>IF(A21="","",ROUND(D21*Simulador!$I$18,2))</x:f>
        <x:v>42.52</x:v>
      </x:c>
      <x:c r="F21" s="131" t="n">
        <x:f>IF(A21="","",ROUND(MIN(D21,MAX(G21-E21,0)),2))</x:f>
        <x:v>36.6</x:v>
      </x:c>
      <x:c r="G21" s="131" t="n">
        <x:f>IF(A21="","",IF(A21&lt;Contrato!$C$16,Contrato!$C$27,Contrato!$C$28))</x:f>
        <x:v>79.12</x:v>
      </x:c>
      <x:c r="H21" s="131" t="n">
        <x:f>IF(A21="","",Contrato!$C$29)</x:f>
        <x:v>199.99</x:v>
      </x:c>
      <x:c r="I21" s="131" t="n">
        <x:f>IF(A21="","",Contrato!$C$30)</x:f>
        <x:v>187.5</x:v>
      </x:c>
      <x:c r="J21" s="131" t="n">
        <x:f>IF(A21="","",Contrato!$C$31)</x:f>
        <x:v>0</x:v>
      </x:c>
      <x:c r="K21" s="131" t="n">
        <x:f>IF(A21="","",ROUND(SUM(G21:J21),2))</x:f>
        <x:v>466.61</x:v>
      </x:c>
      <x:c r="L21" s="80"/>
      <x:c r="M21" s="77"/>
      <x:c r="N21" s="29" t="str">
        <x:f>IF(A21="","",IF(L21&gt;=K21,"Paga",IF(L21&gt;0,"Paga parcialmente",IF(C21&lt;$A$5,"Vencida","Prevista"))))</x:f>
        <x:v>Prevista</x:v>
      </x:c>
      <x:c r="O21" s="29" t="n">
        <x:f>IF(A21="","",$A$5-C21)</x:f>
        <x:v>-100</x:v>
      </x:c>
      <x:c r="P21" s="131" t="n">
        <x:f>IF(A21="","",IF(AND(O21&gt;0,MAX(K21-L21,0)&gt;0,N21&lt;&gt;"Paga"),ROUND(MAX(K21-L21,0)*'Parâmetros'!$B$34,2),0))</x:f>
        <x:v>0</x:v>
      </x:c>
      <x:c r="Q21" s="131" t="n">
        <x:f>IF(A21="","",IF(AND(O21&gt;0,MAX(K21-L21,0)&gt;0,N21&lt;&gt;"Paga"),ROUND(MAX(K21-L21,0)*'Parâmetros'!$B$35*(O21/'Parâmetros'!$B$33),2),0))</x:f>
        <x:v>0</x:v>
      </x:c>
      <x:c r="R21" s="131" t="n">
        <x:f>IF(A21="","",IF(O21&gt;0,ROUND(MAX(K21-L21,0)+P21+Q21,2),0))</x:f>
        <x:v>0</x:v>
      </x:c>
      <x:c r="S21" s="131" t="n">
        <x:f>IF(A21="","",IF(OR(N21="Paga",O21&gt;0),0,ROUND(IF(K21=0,0,G21*MAX(K21-L21,0)/K21)/(1+'Parâmetros'!$C$13)^((C21-$A$5)/30),2)))</x:f>
        <x:v>75.29</x:v>
      </x:c>
      <x:c r="T21" s="131" t="n">
        <x:f>IF(A21="","",0)</x:f>
        <x:v>0</x:v>
      </x:c>
      <x:c r="U21" s="131" t="n">
        <x:f>IF(A21="","",0)</x:f>
        <x:v>0</x:v>
      </x:c>
      <x:c r="V21" s="131" t="n">
        <x:f>IF(A21="","",IF(N21="Paga",0,IF(O21&gt;0,R21,S21)))</x:f>
        <x:v>75.29</x:v>
      </x:c>
      <x:c r="W21" s="131" t="n">
        <x:f>IF(A21="","",ROUND(MAX(D21-F21,0),2))</x:f>
        <x:v>10751.92</x:v>
      </x:c>
      <x:c r="X21" s="131" t="n">
        <x:f>IF(A21="","",ROUND(SUM($G21:$G$407),2))</x:f>
        <x:v>15506.32</x:v>
      </x:c>
      <x:c r="Y21" s="131" t="n">
        <x:f>IF(A21="","",ROUND(MAX(X21-D21,0),2))</x:f>
        <x:v>4717.8</x:v>
      </x:c>
      <x:c r="Z21" s="131" t="n">
        <x:f>IF(A21="","",ROUND(SUM($V21:$V$407),2))</x:f>
        <x:v>10720.71</x:v>
      </x:c>
      <x:c r="AA21" s="131" t="n">
        <x:f>IF(A21="","",ROUND(SUM($K21:$K$407)-Z21,2))</x:f>
        <x:v>80733.65</x:v>
      </x:c>
      <x:c r="AB21" s="77"/>
      <x:c r="AC21" s="36" t="str">
        <x:f>IF(A21="","",IF(O21&gt;0,"Vencido: saldo da fatura + mora",IF(O21&lt;=0,"Vincendo: VP da parcela financeira; comissão/proteção futuras isentas","")))</x:f>
        <x:v>Vincendo: VP da parcela financeira; comissão/proteção futuras isentas</x:v>
      </x:c>
    </x:row>
    <x:row r="22">
      <x:c r="A22" s="129" t="n">
        <x:f>IF(ROW()-7&lt;=Contrato!$C$16,ROW()-7,"")</x:f>
        <x:v>15</x:v>
      </x:c>
      <x:c r="B22" s="129" t="n">
        <x:f>IF(A22="","",Contrato!$C$16)</x:f>
        <x:v>209</x:v>
      </x:c>
      <x:c r="C22" s="130" t="n">
        <x:f>IF(A22="","",IF(AB22&lt;&gt;"",AB22,IF(Contrato!$C$14="Mensal",EDATE(Contrato!$C$13,A22-1),Contrato!$C$13+(A22-1)*IF(Contrato!$C$14="Quinzenal",14,IF(Contrato!$C$14="Semanal",7,1)))))</x:f>
        <x:v>46367</x:v>
      </x:c>
      <x:c r="D22" s="131" t="n">
        <x:f>IF(A22="","",W21)</x:f>
        <x:v>10751.92</x:v>
      </x:c>
      <x:c r="E22" s="131" t="n">
        <x:f>IF(A22="","",ROUND(D22*Simulador!$I$18,2))</x:f>
        <x:v>42.37</x:v>
      </x:c>
      <x:c r="F22" s="131" t="n">
        <x:f>IF(A22="","",ROUND(MIN(D22,MAX(G22-E22,0)),2))</x:f>
        <x:v>36.75</x:v>
      </x:c>
      <x:c r="G22" s="131" t="n">
        <x:f>IF(A22="","",IF(A22&lt;Contrato!$C$16,Contrato!$C$27,Contrato!$C$28))</x:f>
        <x:v>79.12</x:v>
      </x:c>
      <x:c r="H22" s="131" t="n">
        <x:f>IF(A22="","",Contrato!$C$29)</x:f>
        <x:v>199.99</x:v>
      </x:c>
      <x:c r="I22" s="131" t="n">
        <x:f>IF(A22="","",Contrato!$C$30)</x:f>
        <x:v>187.5</x:v>
      </x:c>
      <x:c r="J22" s="131" t="n">
        <x:f>IF(A22="","",Contrato!$C$31)</x:f>
        <x:v>0</x:v>
      </x:c>
      <x:c r="K22" s="131" t="n">
        <x:f>IF(A22="","",ROUND(SUM(G22:J22),2))</x:f>
        <x:v>466.61</x:v>
      </x:c>
      <x:c r="L22" s="80"/>
      <x:c r="M22" s="77"/>
      <x:c r="N22" s="29" t="str">
        <x:f>IF(A22="","",IF(L22&gt;=K22,"Paga",IF(L22&gt;0,"Paga parcialmente",IF(C22&lt;$A$5,"Vencida","Prevista"))))</x:f>
        <x:v>Prevista</x:v>
      </x:c>
      <x:c r="O22" s="29" t="n">
        <x:f>IF(A22="","",$A$5-C22)</x:f>
        <x:v>-107</x:v>
      </x:c>
      <x:c r="P22" s="131" t="n">
        <x:f>IF(A22="","",IF(AND(O22&gt;0,MAX(K22-L22,0)&gt;0,N22&lt;&gt;"Paga"),ROUND(MAX(K22-L22,0)*'Parâmetros'!$B$34,2),0))</x:f>
        <x:v>0</x:v>
      </x:c>
      <x:c r="Q22" s="131" t="n">
        <x:f>IF(A22="","",IF(AND(O22&gt;0,MAX(K22-L22,0)&gt;0,N22&lt;&gt;"Paga"),ROUND(MAX(K22-L22,0)*'Parâmetros'!$B$35*(O22/'Parâmetros'!$B$33),2),0))</x:f>
        <x:v>0</x:v>
      </x:c>
      <x:c r="R22" s="131" t="n">
        <x:f>IF(A22="","",IF(O22&gt;0,ROUND(MAX(K22-L22,0)+P22+Q22,2),0))</x:f>
        <x:v>0</x:v>
      </x:c>
      <x:c r="S22" s="131" t="n">
        <x:f>IF(A22="","",IF(OR(N22="Paga",O22&gt;0),0,ROUND(IF(K22=0,0,G22*MAX(K22-L22,0)/K22)/(1+'Parâmetros'!$C$13)^((C22-$A$5)/30),2)))</x:f>
        <x:v>75.03</x:v>
      </x:c>
      <x:c r="T22" s="131" t="n">
        <x:f>IF(A22="","",0)</x:f>
        <x:v>0</x:v>
      </x:c>
      <x:c r="U22" s="131" t="n">
        <x:f>IF(A22="","",0)</x:f>
        <x:v>0</x:v>
      </x:c>
      <x:c r="V22" s="131" t="n">
        <x:f>IF(A22="","",IF(N22="Paga",0,IF(O22&gt;0,R22,S22)))</x:f>
        <x:v>75.03</x:v>
      </x:c>
      <x:c r="W22" s="131" t="n">
        <x:f>IF(A22="","",ROUND(MAX(D22-F22,0),2))</x:f>
        <x:v>10715.17</x:v>
      </x:c>
      <x:c r="X22" s="131" t="n">
        <x:f>IF(A22="","",ROUND(SUM($G22:$G$407),2))</x:f>
        <x:v>15427.2</x:v>
      </x:c>
      <x:c r="Y22" s="131" t="n">
        <x:f>IF(A22="","",ROUND(MAX(X22-D22,0),2))</x:f>
        <x:v>4675.28</x:v>
      </x:c>
      <x:c r="Z22" s="131" t="n">
        <x:f>IF(A22="","",ROUND(SUM($V22:$V$407),2))</x:f>
        <x:v>10645.42</x:v>
      </x:c>
      <x:c r="AA22" s="131" t="n">
        <x:f>IF(A22="","",ROUND(SUM($K22:$K$407)-Z22,2))</x:f>
        <x:v>80342.33</x:v>
      </x:c>
      <x:c r="AB22" s="77"/>
      <x:c r="AC22" s="36" t="str">
        <x:f>IF(A22="","",IF(O22&gt;0,"Vencido: saldo da fatura + mora",IF(O22&lt;=0,"Vincendo: VP da parcela financeira; comissão/proteção futuras isentas","")))</x:f>
        <x:v>Vincendo: VP da parcela financeira; comissão/proteção futuras isentas</x:v>
      </x:c>
    </x:row>
    <x:row r="23">
      <x:c r="A23" s="129" t="n">
        <x:f>IF(ROW()-7&lt;=Contrato!$C$16,ROW()-7,"")</x:f>
        <x:v>16</x:v>
      </x:c>
      <x:c r="B23" s="129" t="n">
        <x:f>IF(A23="","",Contrato!$C$16)</x:f>
        <x:v>209</x:v>
      </x:c>
      <x:c r="C23" s="130" t="n">
        <x:f>IF(A23="","",IF(AB23&lt;&gt;"",AB23,IF(Contrato!$C$14="Mensal",EDATE(Contrato!$C$13,A23-1),Contrato!$C$13+(A23-1)*IF(Contrato!$C$14="Quinzenal",14,IF(Contrato!$C$14="Semanal",7,1)))))</x:f>
        <x:v>46374</x:v>
      </x:c>
      <x:c r="D23" s="131" t="n">
        <x:f>IF(A23="","",W22)</x:f>
        <x:v>10715.17</x:v>
      </x:c>
      <x:c r="E23" s="131" t="n">
        <x:f>IF(A23="","",ROUND(D23*Simulador!$I$18,2))</x:f>
        <x:v>42.23</x:v>
      </x:c>
      <x:c r="F23" s="131" t="n">
        <x:f>IF(A23="","",ROUND(MIN(D23,MAX(G23-E23,0)),2))</x:f>
        <x:v>36.89</x:v>
      </x:c>
      <x:c r="G23" s="131" t="n">
        <x:f>IF(A23="","",IF(A23&lt;Contrato!$C$16,Contrato!$C$27,Contrato!$C$28))</x:f>
        <x:v>79.12</x:v>
      </x:c>
      <x:c r="H23" s="131" t="n">
        <x:f>IF(A23="","",Contrato!$C$29)</x:f>
        <x:v>199.99</x:v>
      </x:c>
      <x:c r="I23" s="131" t="n">
        <x:f>IF(A23="","",Contrato!$C$30)</x:f>
        <x:v>187.5</x:v>
      </x:c>
      <x:c r="J23" s="131" t="n">
        <x:f>IF(A23="","",Contrato!$C$31)</x:f>
        <x:v>0</x:v>
      </x:c>
      <x:c r="K23" s="131" t="n">
        <x:f>IF(A23="","",ROUND(SUM(G23:J23),2))</x:f>
        <x:v>466.61</x:v>
      </x:c>
      <x:c r="L23" s="80"/>
      <x:c r="M23" s="77"/>
      <x:c r="N23" s="29" t="str">
        <x:f>IF(A23="","",IF(L23&gt;=K23,"Paga",IF(L23&gt;0,"Paga parcialmente",IF(C23&lt;$A$5,"Vencida","Prevista"))))</x:f>
        <x:v>Prevista</x:v>
      </x:c>
      <x:c r="O23" s="29" t="n">
        <x:f>IF(A23="","",$A$5-C23)</x:f>
        <x:v>-114</x:v>
      </x:c>
      <x:c r="P23" s="131" t="n">
        <x:f>IF(A23="","",IF(AND(O23&gt;0,MAX(K23-L23,0)&gt;0,N23&lt;&gt;"Paga"),ROUND(MAX(K23-L23,0)*'Parâmetros'!$B$34,2),0))</x:f>
        <x:v>0</x:v>
      </x:c>
      <x:c r="Q23" s="131" t="n">
        <x:f>IF(A23="","",IF(AND(O23&gt;0,MAX(K23-L23,0)&gt;0,N23&lt;&gt;"Paga"),ROUND(MAX(K23-L23,0)*'Parâmetros'!$B$35*(O23/'Parâmetros'!$B$33),2),0))</x:f>
        <x:v>0</x:v>
      </x:c>
      <x:c r="R23" s="131" t="n">
        <x:f>IF(A23="","",IF(O23&gt;0,ROUND(MAX(K23-L23,0)+P23+Q23,2),0))</x:f>
        <x:v>0</x:v>
      </x:c>
      <x:c r="S23" s="131" t="n">
        <x:f>IF(A23="","",IF(OR(N23="Paga",O23&gt;0),0,ROUND(IF(K23=0,0,G23*MAX(K23-L23,0)/K23)/(1+'Parâmetros'!$C$13)^((C23-$A$5)/30),2)))</x:f>
        <x:v>74.77</x:v>
      </x:c>
      <x:c r="T23" s="131" t="n">
        <x:f>IF(A23="","",0)</x:f>
        <x:v>0</x:v>
      </x:c>
      <x:c r="U23" s="131" t="n">
        <x:f>IF(A23="","",0)</x:f>
        <x:v>0</x:v>
      </x:c>
      <x:c r="V23" s="131" t="n">
        <x:f>IF(A23="","",IF(N23="Paga",0,IF(O23&gt;0,R23,S23)))</x:f>
        <x:v>74.77</x:v>
      </x:c>
      <x:c r="W23" s="131" t="n">
        <x:f>IF(A23="","",ROUND(MAX(D23-F23,0),2))</x:f>
        <x:v>10678.28</x:v>
      </x:c>
      <x:c r="X23" s="131" t="n">
        <x:f>IF(A23="","",ROUND(SUM($G23:$G$407),2))</x:f>
        <x:v>15348.08</x:v>
      </x:c>
      <x:c r="Y23" s="131" t="n">
        <x:f>IF(A23="","",ROUND(MAX(X23-D23,0),2))</x:f>
        <x:v>4632.91</x:v>
      </x:c>
      <x:c r="Z23" s="131" t="n">
        <x:f>IF(A23="","",ROUND(SUM($V23:$V$407),2))</x:f>
        <x:v>10570.39</x:v>
      </x:c>
      <x:c r="AA23" s="131" t="n">
        <x:f>IF(A23="","",ROUND(SUM($K23:$K$407)-Z23,2))</x:f>
        <x:v>79950.75</x:v>
      </x:c>
      <x:c r="AB23" s="77"/>
      <x:c r="AC23" s="36" t="str">
        <x:f>IF(A23="","",IF(O23&gt;0,"Vencido: saldo da fatura + mora",IF(O23&lt;=0,"Vincendo: VP da parcela financeira; comissão/proteção futuras isentas","")))</x:f>
        <x:v>Vincendo: VP da parcela financeira; comissão/proteção futuras isentas</x:v>
      </x:c>
    </x:row>
    <x:row r="24">
      <x:c r="A24" s="129" t="n">
        <x:f>IF(ROW()-7&lt;=Contrato!$C$16,ROW()-7,"")</x:f>
        <x:v>17</x:v>
      </x:c>
      <x:c r="B24" s="129" t="n">
        <x:f>IF(A24="","",Contrato!$C$16)</x:f>
        <x:v>209</x:v>
      </x:c>
      <x:c r="C24" s="130" t="n">
        <x:f>IF(A24="","",IF(AB24&lt;&gt;"",AB24,IF(Contrato!$C$14="Mensal",EDATE(Contrato!$C$13,A24-1),Contrato!$C$13+(A24-1)*IF(Contrato!$C$14="Quinzenal",14,IF(Contrato!$C$14="Semanal",7,1)))))</x:f>
        <x:v>46381</x:v>
      </x:c>
      <x:c r="D24" s="131" t="n">
        <x:f>IF(A24="","",W23)</x:f>
        <x:v>10678.28</x:v>
      </x:c>
      <x:c r="E24" s="131" t="n">
        <x:f>IF(A24="","",ROUND(D24*Simulador!$I$18,2))</x:f>
        <x:v>42.08</x:v>
      </x:c>
      <x:c r="F24" s="131" t="n">
        <x:f>IF(A24="","",ROUND(MIN(D24,MAX(G24-E24,0)),2))</x:f>
        <x:v>37.04</x:v>
      </x:c>
      <x:c r="G24" s="131" t="n">
        <x:f>IF(A24="","",IF(A24&lt;Contrato!$C$16,Contrato!$C$27,Contrato!$C$28))</x:f>
        <x:v>79.12</x:v>
      </x:c>
      <x:c r="H24" s="131" t="n">
        <x:f>IF(A24="","",Contrato!$C$29)</x:f>
        <x:v>199.99</x:v>
      </x:c>
      <x:c r="I24" s="131" t="n">
        <x:f>IF(A24="","",Contrato!$C$30)</x:f>
        <x:v>187.5</x:v>
      </x:c>
      <x:c r="J24" s="131" t="n">
        <x:f>IF(A24="","",Contrato!$C$31)</x:f>
        <x:v>0</x:v>
      </x:c>
      <x:c r="K24" s="131" t="n">
        <x:f>IF(A24="","",ROUND(SUM(G24:J24),2))</x:f>
        <x:v>466.61</x:v>
      </x:c>
      <x:c r="L24" s="80"/>
      <x:c r="M24" s="77"/>
      <x:c r="N24" s="29" t="str">
        <x:f>IF(A24="","",IF(L24&gt;=K24,"Paga",IF(L24&gt;0,"Paga parcialmente",IF(C24&lt;$A$5,"Vencida","Prevista"))))</x:f>
        <x:v>Prevista</x:v>
      </x:c>
      <x:c r="O24" s="29" t="n">
        <x:f>IF(A24="","",$A$5-C24)</x:f>
        <x:v>-121</x:v>
      </x:c>
      <x:c r="P24" s="131" t="n">
        <x:f>IF(A24="","",IF(AND(O24&gt;0,MAX(K24-L24,0)&gt;0,N24&lt;&gt;"Paga"),ROUND(MAX(K24-L24,0)*'Parâmetros'!$B$34,2),0))</x:f>
        <x:v>0</x:v>
      </x:c>
      <x:c r="Q24" s="131" t="n">
        <x:f>IF(A24="","",IF(AND(O24&gt;0,MAX(K24-L24,0)&gt;0,N24&lt;&gt;"Paga"),ROUND(MAX(K24-L24,0)*'Parâmetros'!$B$35*(O24/'Parâmetros'!$B$33),2),0))</x:f>
        <x:v>0</x:v>
      </x:c>
      <x:c r="R24" s="131" t="n">
        <x:f>IF(A24="","",IF(O24&gt;0,ROUND(MAX(K24-L24,0)+P24+Q24,2),0))</x:f>
        <x:v>0</x:v>
      </x:c>
      <x:c r="S24" s="131" t="n">
        <x:f>IF(A24="","",IF(OR(N24="Paga",O24&gt;0),0,ROUND(IF(K24=0,0,G24*MAX(K24-L24,0)/K24)/(1+'Parâmetros'!$C$13)^((C24-$A$5)/30),2)))</x:f>
        <x:v>74.51</x:v>
      </x:c>
      <x:c r="T24" s="131" t="n">
        <x:f>IF(A24="","",0)</x:f>
        <x:v>0</x:v>
      </x:c>
      <x:c r="U24" s="131" t="n">
        <x:f>IF(A24="","",0)</x:f>
        <x:v>0</x:v>
      </x:c>
      <x:c r="V24" s="131" t="n">
        <x:f>IF(A24="","",IF(N24="Paga",0,IF(O24&gt;0,R24,S24)))</x:f>
        <x:v>74.51</x:v>
      </x:c>
      <x:c r="W24" s="131" t="n">
        <x:f>IF(A24="","",ROUND(MAX(D24-F24,0),2))</x:f>
        <x:v>10641.24</x:v>
      </x:c>
      <x:c r="X24" s="131" t="n">
        <x:f>IF(A24="","",ROUND(SUM($G24:$G$407),2))</x:f>
        <x:v>15268.96</x:v>
      </x:c>
      <x:c r="Y24" s="131" t="n">
        <x:f>IF(A24="","",ROUND(MAX(X24-D24,0),2))</x:f>
        <x:v>4590.68</x:v>
      </x:c>
      <x:c r="Z24" s="131" t="n">
        <x:f>IF(A24="","",ROUND(SUM($V24:$V$407),2))</x:f>
        <x:v>10495.62</x:v>
      </x:c>
      <x:c r="AA24" s="131" t="n">
        <x:f>IF(A24="","",ROUND(SUM($K24:$K$407)-Z24,2))</x:f>
        <x:v>79558.91</x:v>
      </x:c>
      <x:c r="AB24" s="77"/>
      <x:c r="AC24" s="36" t="str">
        <x:f>IF(A24="","",IF(O24&gt;0,"Vencido: saldo da fatura + mora",IF(O24&lt;=0,"Vincendo: VP da parcela financeira; comissão/proteção futuras isentas","")))</x:f>
        <x:v>Vincendo: VP da parcela financeira; comissão/proteção futuras isentas</x:v>
      </x:c>
    </x:row>
    <x:row r="25">
      <x:c r="A25" s="129" t="n">
        <x:f>IF(ROW()-7&lt;=Contrato!$C$16,ROW()-7,"")</x:f>
        <x:v>18</x:v>
      </x:c>
      <x:c r="B25" s="129" t="n">
        <x:f>IF(A25="","",Contrato!$C$16)</x:f>
        <x:v>209</x:v>
      </x:c>
      <x:c r="C25" s="130" t="n">
        <x:f>IF(A25="","",IF(AB25&lt;&gt;"",AB25,IF(Contrato!$C$14="Mensal",EDATE(Contrato!$C$13,A25-1),Contrato!$C$13+(A25-1)*IF(Contrato!$C$14="Quinzenal",14,IF(Contrato!$C$14="Semanal",7,1)))))</x:f>
        <x:v>46388</x:v>
      </x:c>
      <x:c r="D25" s="131" t="n">
        <x:f>IF(A25="","",W24)</x:f>
        <x:v>10641.24</x:v>
      </x:c>
      <x:c r="E25" s="131" t="n">
        <x:f>IF(A25="","",ROUND(D25*Simulador!$I$18,2))</x:f>
        <x:v>41.94</x:v>
      </x:c>
      <x:c r="F25" s="131" t="n">
        <x:f>IF(A25="","",ROUND(MIN(D25,MAX(G25-E25,0)),2))</x:f>
        <x:v>37.18</x:v>
      </x:c>
      <x:c r="G25" s="131" t="n">
        <x:f>IF(A25="","",IF(A25&lt;Contrato!$C$16,Contrato!$C$27,Contrato!$C$28))</x:f>
        <x:v>79.12</x:v>
      </x:c>
      <x:c r="H25" s="131" t="n">
        <x:f>IF(A25="","",Contrato!$C$29)</x:f>
        <x:v>199.99</x:v>
      </x:c>
      <x:c r="I25" s="131" t="n">
        <x:f>IF(A25="","",Contrato!$C$30)</x:f>
        <x:v>187.5</x:v>
      </x:c>
      <x:c r="J25" s="131" t="n">
        <x:f>IF(A25="","",Contrato!$C$31)</x:f>
        <x:v>0</x:v>
      </x:c>
      <x:c r="K25" s="131" t="n">
        <x:f>IF(A25="","",ROUND(SUM(G25:J25),2))</x:f>
        <x:v>466.61</x:v>
      </x:c>
      <x:c r="L25" s="80"/>
      <x:c r="M25" s="77"/>
      <x:c r="N25" s="29" t="str">
        <x:f>IF(A25="","",IF(L25&gt;=K25,"Paga",IF(L25&gt;0,"Paga parcialmente",IF(C25&lt;$A$5,"Vencida","Prevista"))))</x:f>
        <x:v>Prevista</x:v>
      </x:c>
      <x:c r="O25" s="29" t="n">
        <x:f>IF(A25="","",$A$5-C25)</x:f>
        <x:v>-128</x:v>
      </x:c>
      <x:c r="P25" s="131" t="n">
        <x:f>IF(A25="","",IF(AND(O25&gt;0,MAX(K25-L25,0)&gt;0,N25&lt;&gt;"Paga"),ROUND(MAX(K25-L25,0)*'Parâmetros'!$B$34,2),0))</x:f>
        <x:v>0</x:v>
      </x:c>
      <x:c r="Q25" s="131" t="n">
        <x:f>IF(A25="","",IF(AND(O25&gt;0,MAX(K25-L25,0)&gt;0,N25&lt;&gt;"Paga"),ROUND(MAX(K25-L25,0)*'Parâmetros'!$B$35*(O25/'Parâmetros'!$B$33),2),0))</x:f>
        <x:v>0</x:v>
      </x:c>
      <x:c r="R25" s="131" t="n">
        <x:f>IF(A25="","",IF(O25&gt;0,ROUND(MAX(K25-L25,0)+P25+Q25,2),0))</x:f>
        <x:v>0</x:v>
      </x:c>
      <x:c r="S25" s="131" t="n">
        <x:f>IF(A25="","",IF(OR(N25="Paga",O25&gt;0),0,ROUND(IF(K25=0,0,G25*MAX(K25-L25,0)/K25)/(1+'Parâmetros'!$C$13)^((C25-$A$5)/30),2)))</x:f>
        <x:v>74.25</x:v>
      </x:c>
      <x:c r="T25" s="131" t="n">
        <x:f>IF(A25="","",0)</x:f>
        <x:v>0</x:v>
      </x:c>
      <x:c r="U25" s="131" t="n">
        <x:f>IF(A25="","",0)</x:f>
        <x:v>0</x:v>
      </x:c>
      <x:c r="V25" s="131" t="n">
        <x:f>IF(A25="","",IF(N25="Paga",0,IF(O25&gt;0,R25,S25)))</x:f>
        <x:v>74.25</x:v>
      </x:c>
      <x:c r="W25" s="131" t="n">
        <x:f>IF(A25="","",ROUND(MAX(D25-F25,0),2))</x:f>
        <x:v>10604.06</x:v>
      </x:c>
      <x:c r="X25" s="131" t="n">
        <x:f>IF(A25="","",ROUND(SUM($G25:$G$407),2))</x:f>
        <x:v>15189.84</x:v>
      </x:c>
      <x:c r="Y25" s="131" t="n">
        <x:f>IF(A25="","",ROUND(MAX(X25-D25,0),2))</x:f>
        <x:v>4548.6</x:v>
      </x:c>
      <x:c r="Z25" s="131" t="n">
        <x:f>IF(A25="","",ROUND(SUM($V25:$V$407),2))</x:f>
        <x:v>10421.11</x:v>
      </x:c>
      <x:c r="AA25" s="131" t="n">
        <x:f>IF(A25="","",ROUND(SUM($K25:$K$407)-Z25,2))</x:f>
        <x:v>79166.81</x:v>
      </x:c>
      <x:c r="AB25" s="77"/>
      <x:c r="AC25" s="36" t="str">
        <x:f>IF(A25="","",IF(O25&gt;0,"Vencido: saldo da fatura + mora",IF(O25&lt;=0,"Vincendo: VP da parcela financeira; comissão/proteção futuras isentas","")))</x:f>
        <x:v>Vincendo: VP da parcela financeira; comissão/proteção futuras isentas</x:v>
      </x:c>
    </x:row>
    <x:row r="26">
      <x:c r="A26" s="129" t="n">
        <x:f>IF(ROW()-7&lt;=Contrato!$C$16,ROW()-7,"")</x:f>
        <x:v>19</x:v>
      </x:c>
      <x:c r="B26" s="129" t="n">
        <x:f>IF(A26="","",Contrato!$C$16)</x:f>
        <x:v>209</x:v>
      </x:c>
      <x:c r="C26" s="130" t="n">
        <x:f>IF(A26="","",IF(AB26&lt;&gt;"",AB26,IF(Contrato!$C$14="Mensal",EDATE(Contrato!$C$13,A26-1),Contrato!$C$13+(A26-1)*IF(Contrato!$C$14="Quinzenal",14,IF(Contrato!$C$14="Semanal",7,1)))))</x:f>
        <x:v>46395</x:v>
      </x:c>
      <x:c r="D26" s="131" t="n">
        <x:f>IF(A26="","",W25)</x:f>
        <x:v>10604.06</x:v>
      </x:c>
      <x:c r="E26" s="131" t="n">
        <x:f>IF(A26="","",ROUND(D26*Simulador!$I$18,2))</x:f>
        <x:v>41.79</x:v>
      </x:c>
      <x:c r="F26" s="131" t="n">
        <x:f>IF(A26="","",ROUND(MIN(D26,MAX(G26-E26,0)),2))</x:f>
        <x:v>37.33</x:v>
      </x:c>
      <x:c r="G26" s="131" t="n">
        <x:f>IF(A26="","",IF(A26&lt;Contrato!$C$16,Contrato!$C$27,Contrato!$C$28))</x:f>
        <x:v>79.12</x:v>
      </x:c>
      <x:c r="H26" s="131" t="n">
        <x:f>IF(A26="","",Contrato!$C$29)</x:f>
        <x:v>199.99</x:v>
      </x:c>
      <x:c r="I26" s="131" t="n">
        <x:f>IF(A26="","",Contrato!$C$30)</x:f>
        <x:v>187.5</x:v>
      </x:c>
      <x:c r="J26" s="131" t="n">
        <x:f>IF(A26="","",Contrato!$C$31)</x:f>
        <x:v>0</x:v>
      </x:c>
      <x:c r="K26" s="131" t="n">
        <x:f>IF(A26="","",ROUND(SUM(G26:J26),2))</x:f>
        <x:v>466.61</x:v>
      </x:c>
      <x:c r="L26" s="80"/>
      <x:c r="M26" s="77"/>
      <x:c r="N26" s="29" t="str">
        <x:f>IF(A26="","",IF(L26&gt;=K26,"Paga",IF(L26&gt;0,"Paga parcialmente",IF(C26&lt;$A$5,"Vencida","Prevista"))))</x:f>
        <x:v>Prevista</x:v>
      </x:c>
      <x:c r="O26" s="29" t="n">
        <x:f>IF(A26="","",$A$5-C26)</x:f>
        <x:v>-135</x:v>
      </x:c>
      <x:c r="P26" s="131" t="n">
        <x:f>IF(A26="","",IF(AND(O26&gt;0,MAX(K26-L26,0)&gt;0,N26&lt;&gt;"Paga"),ROUND(MAX(K26-L26,0)*'Parâmetros'!$B$34,2),0))</x:f>
        <x:v>0</x:v>
      </x:c>
      <x:c r="Q26" s="131" t="n">
        <x:f>IF(A26="","",IF(AND(O26&gt;0,MAX(K26-L26,0)&gt;0,N26&lt;&gt;"Paga"),ROUND(MAX(K26-L26,0)*'Parâmetros'!$B$35*(O26/'Parâmetros'!$B$33),2),0))</x:f>
        <x:v>0</x:v>
      </x:c>
      <x:c r="R26" s="131" t="n">
        <x:f>IF(A26="","",IF(O26&gt;0,ROUND(MAX(K26-L26,0)+P26+Q26,2),0))</x:f>
        <x:v>0</x:v>
      </x:c>
      <x:c r="S26" s="131" t="n">
        <x:f>IF(A26="","",IF(OR(N26="Paga",O26&gt;0),0,ROUND(IF(K26=0,0,G26*MAX(K26-L26,0)/K26)/(1+'Parâmetros'!$C$13)^((C26-$A$5)/30),2)))</x:f>
        <x:v>73.99</x:v>
      </x:c>
      <x:c r="T26" s="131" t="n">
        <x:f>IF(A26="","",0)</x:f>
        <x:v>0</x:v>
      </x:c>
      <x:c r="U26" s="131" t="n">
        <x:f>IF(A26="","",0)</x:f>
        <x:v>0</x:v>
      </x:c>
      <x:c r="V26" s="131" t="n">
        <x:f>IF(A26="","",IF(N26="Paga",0,IF(O26&gt;0,R26,S26)))</x:f>
        <x:v>73.99</x:v>
      </x:c>
      <x:c r="W26" s="131" t="n">
        <x:f>IF(A26="","",ROUND(MAX(D26-F26,0),2))</x:f>
        <x:v>10566.73</x:v>
      </x:c>
      <x:c r="X26" s="131" t="n">
        <x:f>IF(A26="","",ROUND(SUM($G26:$G$407),2))</x:f>
        <x:v>15110.72</x:v>
      </x:c>
      <x:c r="Y26" s="131" t="n">
        <x:f>IF(A26="","",ROUND(MAX(X26-D26,0),2))</x:f>
        <x:v>4506.66</x:v>
      </x:c>
      <x:c r="Z26" s="131" t="n">
        <x:f>IF(A26="","",ROUND(SUM($V26:$V$407),2))</x:f>
        <x:v>10346.86</x:v>
      </x:c>
      <x:c r="AA26" s="131" t="n">
        <x:f>IF(A26="","",ROUND(SUM($K26:$K$407)-Z26,2))</x:f>
        <x:v>78774.45</x:v>
      </x:c>
      <x:c r="AB26" s="77"/>
      <x:c r="AC26" s="36" t="str">
        <x:f>IF(A26="","",IF(O26&gt;0,"Vencido: saldo da fatura + mora",IF(O26&lt;=0,"Vincendo: VP da parcela financeira; comissão/proteção futuras isentas","")))</x:f>
        <x:v>Vincendo: VP da parcela financeira; comissão/proteção futuras isentas</x:v>
      </x:c>
    </x:row>
    <x:row r="27">
      <x:c r="A27" s="129" t="n">
        <x:f>IF(ROW()-7&lt;=Contrato!$C$16,ROW()-7,"")</x:f>
        <x:v>20</x:v>
      </x:c>
      <x:c r="B27" s="129" t="n">
        <x:f>IF(A27="","",Contrato!$C$16)</x:f>
        <x:v>209</x:v>
      </x:c>
      <x:c r="C27" s="130" t="n">
        <x:f>IF(A27="","",IF(AB27&lt;&gt;"",AB27,IF(Contrato!$C$14="Mensal",EDATE(Contrato!$C$13,A27-1),Contrato!$C$13+(A27-1)*IF(Contrato!$C$14="Quinzenal",14,IF(Contrato!$C$14="Semanal",7,1)))))</x:f>
        <x:v>46402</x:v>
      </x:c>
      <x:c r="D27" s="131" t="n">
        <x:f>IF(A27="","",W26)</x:f>
        <x:v>10566.73</x:v>
      </x:c>
      <x:c r="E27" s="131" t="n">
        <x:f>IF(A27="","",ROUND(D27*Simulador!$I$18,2))</x:f>
        <x:v>41.64</x:v>
      </x:c>
      <x:c r="F27" s="131" t="n">
        <x:f>IF(A27="","",ROUND(MIN(D27,MAX(G27-E27,0)),2))</x:f>
        <x:v>37.48</x:v>
      </x:c>
      <x:c r="G27" s="131" t="n">
        <x:f>IF(A27="","",IF(A27&lt;Contrato!$C$16,Contrato!$C$27,Contrato!$C$28))</x:f>
        <x:v>79.12</x:v>
      </x:c>
      <x:c r="H27" s="131" t="n">
        <x:f>IF(A27="","",Contrato!$C$29)</x:f>
        <x:v>199.99</x:v>
      </x:c>
      <x:c r="I27" s="131" t="n">
        <x:f>IF(A27="","",Contrato!$C$30)</x:f>
        <x:v>187.5</x:v>
      </x:c>
      <x:c r="J27" s="131" t="n">
        <x:f>IF(A27="","",Contrato!$C$31)</x:f>
        <x:v>0</x:v>
      </x:c>
      <x:c r="K27" s="131" t="n">
        <x:f>IF(A27="","",ROUND(SUM(G27:J27),2))</x:f>
        <x:v>466.61</x:v>
      </x:c>
      <x:c r="L27" s="80"/>
      <x:c r="M27" s="77"/>
      <x:c r="N27" s="29" t="str">
        <x:f>IF(A27="","",IF(L27&gt;=K27,"Paga",IF(L27&gt;0,"Paga parcialmente",IF(C27&lt;$A$5,"Vencida","Prevista"))))</x:f>
        <x:v>Prevista</x:v>
      </x:c>
      <x:c r="O27" s="29" t="n">
        <x:f>IF(A27="","",$A$5-C27)</x:f>
        <x:v>-142</x:v>
      </x:c>
      <x:c r="P27" s="131" t="n">
        <x:f>IF(A27="","",IF(AND(O27&gt;0,MAX(K27-L27,0)&gt;0,N27&lt;&gt;"Paga"),ROUND(MAX(K27-L27,0)*'Parâmetros'!$B$34,2),0))</x:f>
        <x:v>0</x:v>
      </x:c>
      <x:c r="Q27" s="131" t="n">
        <x:f>IF(A27="","",IF(AND(O27&gt;0,MAX(K27-L27,0)&gt;0,N27&lt;&gt;"Paga"),ROUND(MAX(K27-L27,0)*'Parâmetros'!$B$35*(O27/'Parâmetros'!$B$33),2),0))</x:f>
        <x:v>0</x:v>
      </x:c>
      <x:c r="R27" s="131" t="n">
        <x:f>IF(A27="","",IF(O27&gt;0,ROUND(MAX(K27-L27,0)+P27+Q27,2),0))</x:f>
        <x:v>0</x:v>
      </x:c>
      <x:c r="S27" s="131" t="n">
        <x:f>IF(A27="","",IF(OR(N27="Paga",O27&gt;0),0,ROUND(IF(K27=0,0,G27*MAX(K27-L27,0)/K27)/(1+'Parâmetros'!$C$13)^((C27-$A$5)/30),2)))</x:f>
        <x:v>73.74</x:v>
      </x:c>
      <x:c r="T27" s="131" t="n">
        <x:f>IF(A27="","",0)</x:f>
        <x:v>0</x:v>
      </x:c>
      <x:c r="U27" s="131" t="n">
        <x:f>IF(A27="","",0)</x:f>
        <x:v>0</x:v>
      </x:c>
      <x:c r="V27" s="131" t="n">
        <x:f>IF(A27="","",IF(N27="Paga",0,IF(O27&gt;0,R27,S27)))</x:f>
        <x:v>73.74</x:v>
      </x:c>
      <x:c r="W27" s="131" t="n">
        <x:f>IF(A27="","",ROUND(MAX(D27-F27,0),2))</x:f>
        <x:v>10529.25</x:v>
      </x:c>
      <x:c r="X27" s="131" t="n">
        <x:f>IF(A27="","",ROUND(SUM($G27:$G$407),2))</x:f>
        <x:v>15031.6</x:v>
      </x:c>
      <x:c r="Y27" s="131" t="n">
        <x:f>IF(A27="","",ROUND(MAX(X27-D27,0),2))</x:f>
        <x:v>4464.87</x:v>
      </x:c>
      <x:c r="Z27" s="131" t="n">
        <x:f>IF(A27="","",ROUND(SUM($V27:$V$407),2))</x:f>
        <x:v>10272.87</x:v>
      </x:c>
      <x:c r="AA27" s="131" t="n">
        <x:f>IF(A27="","",ROUND(SUM($K27:$K$407)-Z27,2))</x:f>
        <x:v>78381.83</x:v>
      </x:c>
      <x:c r="AB27" s="77"/>
      <x:c r="AC27" s="36" t="str">
        <x:f>IF(A27="","",IF(O27&gt;0,"Vencido: saldo da fatura + mora",IF(O27&lt;=0,"Vincendo: VP da parcela financeira; comissão/proteção futuras isentas","")))</x:f>
        <x:v>Vincendo: VP da parcela financeira; comissão/proteção futuras isentas</x:v>
      </x:c>
    </x:row>
    <x:row r="28">
      <x:c r="A28" s="129" t="n">
        <x:f>IF(ROW()-7&lt;=Contrato!$C$16,ROW()-7,"")</x:f>
        <x:v>21</x:v>
      </x:c>
      <x:c r="B28" s="129" t="n">
        <x:f>IF(A28="","",Contrato!$C$16)</x:f>
        <x:v>209</x:v>
      </x:c>
      <x:c r="C28" s="130" t="n">
        <x:f>IF(A28="","",IF(AB28&lt;&gt;"",AB28,IF(Contrato!$C$14="Mensal",EDATE(Contrato!$C$13,A28-1),Contrato!$C$13+(A28-1)*IF(Contrato!$C$14="Quinzenal",14,IF(Contrato!$C$14="Semanal",7,1)))))</x:f>
        <x:v>46409</x:v>
      </x:c>
      <x:c r="D28" s="131" t="n">
        <x:f>IF(A28="","",W27)</x:f>
        <x:v>10529.25</x:v>
      </x:c>
      <x:c r="E28" s="131" t="n">
        <x:f>IF(A28="","",ROUND(D28*Simulador!$I$18,2))</x:f>
        <x:v>41.5</x:v>
      </x:c>
      <x:c r="F28" s="131" t="n">
        <x:f>IF(A28="","",ROUND(MIN(D28,MAX(G28-E28,0)),2))</x:f>
        <x:v>37.62</x:v>
      </x:c>
      <x:c r="G28" s="131" t="n">
        <x:f>IF(A28="","",IF(A28&lt;Contrato!$C$16,Contrato!$C$27,Contrato!$C$28))</x:f>
        <x:v>79.12</x:v>
      </x:c>
      <x:c r="H28" s="131" t="n">
        <x:f>IF(A28="","",Contrato!$C$29)</x:f>
        <x:v>199.99</x:v>
      </x:c>
      <x:c r="I28" s="131" t="n">
        <x:f>IF(A28="","",Contrato!$C$30)</x:f>
        <x:v>187.5</x:v>
      </x:c>
      <x:c r="J28" s="131" t="n">
        <x:f>IF(A28="","",Contrato!$C$31)</x:f>
        <x:v>0</x:v>
      </x:c>
      <x:c r="K28" s="131" t="n">
        <x:f>IF(A28="","",ROUND(SUM(G28:J28),2))</x:f>
        <x:v>466.61</x:v>
      </x:c>
      <x:c r="L28" s="80"/>
      <x:c r="M28" s="77"/>
      <x:c r="N28" s="29" t="str">
        <x:f>IF(A28="","",IF(L28&gt;=K28,"Paga",IF(L28&gt;0,"Paga parcialmente",IF(C28&lt;$A$5,"Vencida","Prevista"))))</x:f>
        <x:v>Prevista</x:v>
      </x:c>
      <x:c r="O28" s="29" t="n">
        <x:f>IF(A28="","",$A$5-C28)</x:f>
        <x:v>-149</x:v>
      </x:c>
      <x:c r="P28" s="131" t="n">
        <x:f>IF(A28="","",IF(AND(O28&gt;0,MAX(K28-L28,0)&gt;0,N28&lt;&gt;"Paga"),ROUND(MAX(K28-L28,0)*'Parâmetros'!$B$34,2),0))</x:f>
        <x:v>0</x:v>
      </x:c>
      <x:c r="Q28" s="131" t="n">
        <x:f>IF(A28="","",IF(AND(O28&gt;0,MAX(K28-L28,0)&gt;0,N28&lt;&gt;"Paga"),ROUND(MAX(K28-L28,0)*'Parâmetros'!$B$35*(O28/'Parâmetros'!$B$33),2),0))</x:f>
        <x:v>0</x:v>
      </x:c>
      <x:c r="R28" s="131" t="n">
        <x:f>IF(A28="","",IF(O28&gt;0,ROUND(MAX(K28-L28,0)+P28+Q28,2),0))</x:f>
        <x:v>0</x:v>
      </x:c>
      <x:c r="S28" s="131" t="n">
        <x:f>IF(A28="","",IF(OR(N28="Paga",O28&gt;0),0,ROUND(IF(K28=0,0,G28*MAX(K28-L28,0)/K28)/(1+'Parâmetros'!$C$13)^((C28-$A$5)/30),2)))</x:f>
        <x:v>73.48</x:v>
      </x:c>
      <x:c r="T28" s="131" t="n">
        <x:f>IF(A28="","",0)</x:f>
        <x:v>0</x:v>
      </x:c>
      <x:c r="U28" s="131" t="n">
        <x:f>IF(A28="","",0)</x:f>
        <x:v>0</x:v>
      </x:c>
      <x:c r="V28" s="131" t="n">
        <x:f>IF(A28="","",IF(N28="Paga",0,IF(O28&gt;0,R28,S28)))</x:f>
        <x:v>73.48</x:v>
      </x:c>
      <x:c r="W28" s="131" t="n">
        <x:f>IF(A28="","",ROUND(MAX(D28-F28,0),2))</x:f>
        <x:v>10491.63</x:v>
      </x:c>
      <x:c r="X28" s="131" t="n">
        <x:f>IF(A28="","",ROUND(SUM($G28:$G$407),2))</x:f>
        <x:v>14952.48</x:v>
      </x:c>
      <x:c r="Y28" s="131" t="n">
        <x:f>IF(A28="","",ROUND(MAX(X28-D28,0),2))</x:f>
        <x:v>4423.23</x:v>
      </x:c>
      <x:c r="Z28" s="131" t="n">
        <x:f>IF(A28="","",ROUND(SUM($V28:$V$407),2))</x:f>
        <x:v>10199.13</x:v>
      </x:c>
      <x:c r="AA28" s="131" t="n">
        <x:f>IF(A28="","",ROUND(SUM($K28:$K$407)-Z28,2))</x:f>
        <x:v>77988.96</x:v>
      </x:c>
      <x:c r="AB28" s="77"/>
      <x:c r="AC28" s="36" t="str">
        <x:f>IF(A28="","",IF(O28&gt;0,"Vencido: saldo da fatura + mora",IF(O28&lt;=0,"Vincendo: VP da parcela financeira; comissão/proteção futuras isentas","")))</x:f>
        <x:v>Vincendo: VP da parcela financeira; comissão/proteção futuras isentas</x:v>
      </x:c>
    </x:row>
    <x:row r="29">
      <x:c r="A29" s="129" t="n">
        <x:f>IF(ROW()-7&lt;=Contrato!$C$16,ROW()-7,"")</x:f>
        <x:v>22</x:v>
      </x:c>
      <x:c r="B29" s="129" t="n">
        <x:f>IF(A29="","",Contrato!$C$16)</x:f>
        <x:v>209</x:v>
      </x:c>
      <x:c r="C29" s="130" t="n">
        <x:f>IF(A29="","",IF(AB29&lt;&gt;"",AB29,IF(Contrato!$C$14="Mensal",EDATE(Contrato!$C$13,A29-1),Contrato!$C$13+(A29-1)*IF(Contrato!$C$14="Quinzenal",14,IF(Contrato!$C$14="Semanal",7,1)))))</x:f>
        <x:v>46416</x:v>
      </x:c>
      <x:c r="D29" s="131" t="n">
        <x:f>IF(A29="","",W28)</x:f>
        <x:v>10491.63</x:v>
      </x:c>
      <x:c r="E29" s="131" t="n">
        <x:f>IF(A29="","",ROUND(D29*Simulador!$I$18,2))</x:f>
        <x:v>41.35</x:v>
      </x:c>
      <x:c r="F29" s="131" t="n">
        <x:f>IF(A29="","",ROUND(MIN(D29,MAX(G29-E29,0)),2))</x:f>
        <x:v>37.77</x:v>
      </x:c>
      <x:c r="G29" s="131" t="n">
        <x:f>IF(A29="","",IF(A29&lt;Contrato!$C$16,Contrato!$C$27,Contrato!$C$28))</x:f>
        <x:v>79.12</x:v>
      </x:c>
      <x:c r="H29" s="131" t="n">
        <x:f>IF(A29="","",Contrato!$C$29)</x:f>
        <x:v>199.99</x:v>
      </x:c>
      <x:c r="I29" s="131" t="n">
        <x:f>IF(A29="","",Contrato!$C$30)</x:f>
        <x:v>187.5</x:v>
      </x:c>
      <x:c r="J29" s="131" t="n">
        <x:f>IF(A29="","",Contrato!$C$31)</x:f>
        <x:v>0</x:v>
      </x:c>
      <x:c r="K29" s="131" t="n">
        <x:f>IF(A29="","",ROUND(SUM(G29:J29),2))</x:f>
        <x:v>466.61</x:v>
      </x:c>
      <x:c r="L29" s="80"/>
      <x:c r="M29" s="77"/>
      <x:c r="N29" s="29" t="str">
        <x:f>IF(A29="","",IF(L29&gt;=K29,"Paga",IF(L29&gt;0,"Paga parcialmente",IF(C29&lt;$A$5,"Vencida","Prevista"))))</x:f>
        <x:v>Prevista</x:v>
      </x:c>
      <x:c r="O29" s="29" t="n">
        <x:f>IF(A29="","",$A$5-C29)</x:f>
        <x:v>-156</x:v>
      </x:c>
      <x:c r="P29" s="131" t="n">
        <x:f>IF(A29="","",IF(AND(O29&gt;0,MAX(K29-L29,0)&gt;0,N29&lt;&gt;"Paga"),ROUND(MAX(K29-L29,0)*'Parâmetros'!$B$34,2),0))</x:f>
        <x:v>0</x:v>
      </x:c>
      <x:c r="Q29" s="131" t="n">
        <x:f>IF(A29="","",IF(AND(O29&gt;0,MAX(K29-L29,0)&gt;0,N29&lt;&gt;"Paga"),ROUND(MAX(K29-L29,0)*'Parâmetros'!$B$35*(O29/'Parâmetros'!$B$33),2),0))</x:f>
        <x:v>0</x:v>
      </x:c>
      <x:c r="R29" s="131" t="n">
        <x:f>IF(A29="","",IF(O29&gt;0,ROUND(MAX(K29-L29,0)+P29+Q29,2),0))</x:f>
        <x:v>0</x:v>
      </x:c>
      <x:c r="S29" s="131" t="n">
        <x:f>IF(A29="","",IF(OR(N29="Paga",O29&gt;0),0,ROUND(IF(K29=0,0,G29*MAX(K29-L29,0)/K29)/(1+'Parâmetros'!$C$13)^((C29-$A$5)/30),2)))</x:f>
        <x:v>73.23</x:v>
      </x:c>
      <x:c r="T29" s="131" t="n">
        <x:f>IF(A29="","",0)</x:f>
        <x:v>0</x:v>
      </x:c>
      <x:c r="U29" s="131" t="n">
        <x:f>IF(A29="","",0)</x:f>
        <x:v>0</x:v>
      </x:c>
      <x:c r="V29" s="131" t="n">
        <x:f>IF(A29="","",IF(N29="Paga",0,IF(O29&gt;0,R29,S29)))</x:f>
        <x:v>73.23</x:v>
      </x:c>
      <x:c r="W29" s="131" t="n">
        <x:f>IF(A29="","",ROUND(MAX(D29-F29,0),2))</x:f>
        <x:v>10453.86</x:v>
      </x:c>
      <x:c r="X29" s="131" t="n">
        <x:f>IF(A29="","",ROUND(SUM($G29:$G$407),2))</x:f>
        <x:v>14873.36</x:v>
      </x:c>
      <x:c r="Y29" s="131" t="n">
        <x:f>IF(A29="","",ROUND(MAX(X29-D29,0),2))</x:f>
        <x:v>4381.73</x:v>
      </x:c>
      <x:c r="Z29" s="131" t="n">
        <x:f>IF(A29="","",ROUND(SUM($V29:$V$407),2))</x:f>
        <x:v>10125.65</x:v>
      </x:c>
      <x:c r="AA29" s="131" t="n">
        <x:f>IF(A29="","",ROUND(SUM($K29:$K$407)-Z29,2))</x:f>
        <x:v>77595.83</x:v>
      </x:c>
      <x:c r="AB29" s="77"/>
      <x:c r="AC29" s="36" t="str">
        <x:f>IF(A29="","",IF(O29&gt;0,"Vencido: saldo da fatura + mora",IF(O29&lt;=0,"Vincendo: VP da parcela financeira; comissão/proteção futuras isentas","")))</x:f>
        <x:v>Vincendo: VP da parcela financeira; comissão/proteção futuras isentas</x:v>
      </x:c>
    </x:row>
    <x:row r="30">
      <x:c r="A30" s="129" t="n">
        <x:f>IF(ROW()-7&lt;=Contrato!$C$16,ROW()-7,"")</x:f>
        <x:v>23</x:v>
      </x:c>
      <x:c r="B30" s="129" t="n">
        <x:f>IF(A30="","",Contrato!$C$16)</x:f>
        <x:v>209</x:v>
      </x:c>
      <x:c r="C30" s="130" t="n">
        <x:f>IF(A30="","",IF(AB30&lt;&gt;"",AB30,IF(Contrato!$C$14="Mensal",EDATE(Contrato!$C$13,A30-1),Contrato!$C$13+(A30-1)*IF(Contrato!$C$14="Quinzenal",14,IF(Contrato!$C$14="Semanal",7,1)))))</x:f>
        <x:v>46423</x:v>
      </x:c>
      <x:c r="D30" s="131" t="n">
        <x:f>IF(A30="","",W29)</x:f>
        <x:v>10453.86</x:v>
      </x:c>
      <x:c r="E30" s="131" t="n">
        <x:f>IF(A30="","",ROUND(D30*Simulador!$I$18,2))</x:f>
        <x:v>41.2</x:v>
      </x:c>
      <x:c r="F30" s="131" t="n">
        <x:f>IF(A30="","",ROUND(MIN(D30,MAX(G30-E30,0)),2))</x:f>
        <x:v>37.92</x:v>
      </x:c>
      <x:c r="G30" s="131" t="n">
        <x:f>IF(A30="","",IF(A30&lt;Contrato!$C$16,Contrato!$C$27,Contrato!$C$28))</x:f>
        <x:v>79.12</x:v>
      </x:c>
      <x:c r="H30" s="131" t="n">
        <x:f>IF(A30="","",Contrato!$C$29)</x:f>
        <x:v>199.99</x:v>
      </x:c>
      <x:c r="I30" s="131" t="n">
        <x:f>IF(A30="","",Contrato!$C$30)</x:f>
        <x:v>187.5</x:v>
      </x:c>
      <x:c r="J30" s="131" t="n">
        <x:f>IF(A30="","",Contrato!$C$31)</x:f>
        <x:v>0</x:v>
      </x:c>
      <x:c r="K30" s="131" t="n">
        <x:f>IF(A30="","",ROUND(SUM(G30:J30),2))</x:f>
        <x:v>466.61</x:v>
      </x:c>
      <x:c r="L30" s="80"/>
      <x:c r="M30" s="77"/>
      <x:c r="N30" s="29" t="str">
        <x:f>IF(A30="","",IF(L30&gt;=K30,"Paga",IF(L30&gt;0,"Paga parcialmente",IF(C30&lt;$A$5,"Vencida","Prevista"))))</x:f>
        <x:v>Prevista</x:v>
      </x:c>
      <x:c r="O30" s="29" t="n">
        <x:f>IF(A30="","",$A$5-C30)</x:f>
        <x:v>-163</x:v>
      </x:c>
      <x:c r="P30" s="131" t="n">
        <x:f>IF(A30="","",IF(AND(O30&gt;0,MAX(K30-L30,0)&gt;0,N30&lt;&gt;"Paga"),ROUND(MAX(K30-L30,0)*'Parâmetros'!$B$34,2),0))</x:f>
        <x:v>0</x:v>
      </x:c>
      <x:c r="Q30" s="131" t="n">
        <x:f>IF(A30="","",IF(AND(O30&gt;0,MAX(K30-L30,0)&gt;0,N30&lt;&gt;"Paga"),ROUND(MAX(K30-L30,0)*'Parâmetros'!$B$35*(O30/'Parâmetros'!$B$33),2),0))</x:f>
        <x:v>0</x:v>
      </x:c>
      <x:c r="R30" s="131" t="n">
        <x:f>IF(A30="","",IF(O30&gt;0,ROUND(MAX(K30-L30,0)+P30+Q30,2),0))</x:f>
        <x:v>0</x:v>
      </x:c>
      <x:c r="S30" s="131" t="n">
        <x:f>IF(A30="","",IF(OR(N30="Paga",O30&gt;0),0,ROUND(IF(K30=0,0,G30*MAX(K30-L30,0)/K30)/(1+'Parâmetros'!$C$13)^((C30-$A$5)/30),2)))</x:f>
        <x:v>72.97</x:v>
      </x:c>
      <x:c r="T30" s="131" t="n">
        <x:f>IF(A30="","",0)</x:f>
        <x:v>0</x:v>
      </x:c>
      <x:c r="U30" s="131" t="n">
        <x:f>IF(A30="","",0)</x:f>
        <x:v>0</x:v>
      </x:c>
      <x:c r="V30" s="131" t="n">
        <x:f>IF(A30="","",IF(N30="Paga",0,IF(O30&gt;0,R30,S30)))</x:f>
        <x:v>72.97</x:v>
      </x:c>
      <x:c r="W30" s="131" t="n">
        <x:f>IF(A30="","",ROUND(MAX(D30-F30,0),2))</x:f>
        <x:v>10415.94</x:v>
      </x:c>
      <x:c r="X30" s="131" t="n">
        <x:f>IF(A30="","",ROUND(SUM($G30:$G$407),2))</x:f>
        <x:v>14794.24</x:v>
      </x:c>
      <x:c r="Y30" s="131" t="n">
        <x:f>IF(A30="","",ROUND(MAX(X30-D30,0),2))</x:f>
        <x:v>4340.38</x:v>
      </x:c>
      <x:c r="Z30" s="131" t="n">
        <x:f>IF(A30="","",ROUND(SUM($V30:$V$407),2))</x:f>
        <x:v>10052.42</x:v>
      </x:c>
      <x:c r="AA30" s="131" t="n">
        <x:f>IF(A30="","",ROUND(SUM($K30:$K$407)-Z30,2))</x:f>
        <x:v>77202.45</x:v>
      </x:c>
      <x:c r="AB30" s="77"/>
      <x:c r="AC30" s="36" t="str">
        <x:f>IF(A30="","",IF(O30&gt;0,"Vencido: saldo da fatura + mora",IF(O30&lt;=0,"Vincendo: VP da parcela financeira; comissão/proteção futuras isentas","")))</x:f>
        <x:v>Vincendo: VP da parcela financeira; comissão/proteção futuras isentas</x:v>
      </x:c>
    </x:row>
    <x:row r="31">
      <x:c r="A31" s="129" t="n">
        <x:f>IF(ROW()-7&lt;=Contrato!$C$16,ROW()-7,"")</x:f>
        <x:v>24</x:v>
      </x:c>
      <x:c r="B31" s="129" t="n">
        <x:f>IF(A31="","",Contrato!$C$16)</x:f>
        <x:v>209</x:v>
      </x:c>
      <x:c r="C31" s="130" t="n">
        <x:f>IF(A31="","",IF(AB31&lt;&gt;"",AB31,IF(Contrato!$C$14="Mensal",EDATE(Contrato!$C$13,A31-1),Contrato!$C$13+(A31-1)*IF(Contrato!$C$14="Quinzenal",14,IF(Contrato!$C$14="Semanal",7,1)))))</x:f>
        <x:v>46430</x:v>
      </x:c>
      <x:c r="D31" s="131" t="n">
        <x:f>IF(A31="","",W30)</x:f>
        <x:v>10415.94</x:v>
      </x:c>
      <x:c r="E31" s="131" t="n">
        <x:f>IF(A31="","",ROUND(D31*Simulador!$I$18,2))</x:f>
        <x:v>41.05</x:v>
      </x:c>
      <x:c r="F31" s="131" t="n">
        <x:f>IF(A31="","",ROUND(MIN(D31,MAX(G31-E31,0)),2))</x:f>
        <x:v>38.07</x:v>
      </x:c>
      <x:c r="G31" s="131" t="n">
        <x:f>IF(A31="","",IF(A31&lt;Contrato!$C$16,Contrato!$C$27,Contrato!$C$28))</x:f>
        <x:v>79.12</x:v>
      </x:c>
      <x:c r="H31" s="131" t="n">
        <x:f>IF(A31="","",Contrato!$C$29)</x:f>
        <x:v>199.99</x:v>
      </x:c>
      <x:c r="I31" s="131" t="n">
        <x:f>IF(A31="","",Contrato!$C$30)</x:f>
        <x:v>187.5</x:v>
      </x:c>
      <x:c r="J31" s="131" t="n">
        <x:f>IF(A31="","",Contrato!$C$31)</x:f>
        <x:v>0</x:v>
      </x:c>
      <x:c r="K31" s="131" t="n">
        <x:f>IF(A31="","",ROUND(SUM(G31:J31),2))</x:f>
        <x:v>466.61</x:v>
      </x:c>
      <x:c r="L31" s="80"/>
      <x:c r="M31" s="77"/>
      <x:c r="N31" s="29" t="str">
        <x:f>IF(A31="","",IF(L31&gt;=K31,"Paga",IF(L31&gt;0,"Paga parcialmente",IF(C31&lt;$A$5,"Vencida","Prevista"))))</x:f>
        <x:v>Prevista</x:v>
      </x:c>
      <x:c r="O31" s="29" t="n">
        <x:f>IF(A31="","",$A$5-C31)</x:f>
        <x:v>-170</x:v>
      </x:c>
      <x:c r="P31" s="131" t="n">
        <x:f>IF(A31="","",IF(AND(O31&gt;0,MAX(K31-L31,0)&gt;0,N31&lt;&gt;"Paga"),ROUND(MAX(K31-L31,0)*'Parâmetros'!$B$34,2),0))</x:f>
        <x:v>0</x:v>
      </x:c>
      <x:c r="Q31" s="131" t="n">
        <x:f>IF(A31="","",IF(AND(O31&gt;0,MAX(K31-L31,0)&gt;0,N31&lt;&gt;"Paga"),ROUND(MAX(K31-L31,0)*'Parâmetros'!$B$35*(O31/'Parâmetros'!$B$33),2),0))</x:f>
        <x:v>0</x:v>
      </x:c>
      <x:c r="R31" s="131" t="n">
        <x:f>IF(A31="","",IF(O31&gt;0,ROUND(MAX(K31-L31,0)+P31+Q31,2),0))</x:f>
        <x:v>0</x:v>
      </x:c>
      <x:c r="S31" s="131" t="n">
        <x:f>IF(A31="","",IF(OR(N31="Paga",O31&gt;0),0,ROUND(IF(K31=0,0,G31*MAX(K31-L31,0)/K31)/(1+'Parâmetros'!$C$13)^((C31-$A$5)/30),2)))</x:f>
        <x:v>72.72</x:v>
      </x:c>
      <x:c r="T31" s="131" t="n">
        <x:f>IF(A31="","",0)</x:f>
        <x:v>0</x:v>
      </x:c>
      <x:c r="U31" s="131" t="n">
        <x:f>IF(A31="","",0)</x:f>
        <x:v>0</x:v>
      </x:c>
      <x:c r="V31" s="131" t="n">
        <x:f>IF(A31="","",IF(N31="Paga",0,IF(O31&gt;0,R31,S31)))</x:f>
        <x:v>72.72</x:v>
      </x:c>
      <x:c r="W31" s="131" t="n">
        <x:f>IF(A31="","",ROUND(MAX(D31-F31,0),2))</x:f>
        <x:v>10377.87</x:v>
      </x:c>
      <x:c r="X31" s="131" t="n">
        <x:f>IF(A31="","",ROUND(SUM($G31:$G$407),2))</x:f>
        <x:v>14715.12</x:v>
      </x:c>
      <x:c r="Y31" s="131" t="n">
        <x:f>IF(A31="","",ROUND(MAX(X31-D31,0),2))</x:f>
        <x:v>4299.18</x:v>
      </x:c>
      <x:c r="Z31" s="131" t="n">
        <x:f>IF(A31="","",ROUND(SUM($V31:$V$407),2))</x:f>
        <x:v>9979.45</x:v>
      </x:c>
      <x:c r="AA31" s="131" t="n">
        <x:f>IF(A31="","",ROUND(SUM($K31:$K$407)-Z31,2))</x:f>
        <x:v>76808.81</x:v>
      </x:c>
      <x:c r="AB31" s="77"/>
      <x:c r="AC31" s="36" t="str">
        <x:f>IF(A31="","",IF(O31&gt;0,"Vencido: saldo da fatura + mora",IF(O31&lt;=0,"Vincendo: VP da parcela financeira; comissão/proteção futuras isentas","")))</x:f>
        <x:v>Vincendo: VP da parcela financeira; comissão/proteção futuras isentas</x:v>
      </x:c>
    </x:row>
    <x:row r="32">
      <x:c r="A32" s="129" t="n">
        <x:f>IF(ROW()-7&lt;=Contrato!$C$16,ROW()-7,"")</x:f>
        <x:v>25</x:v>
      </x:c>
      <x:c r="B32" s="129" t="n">
        <x:f>IF(A32="","",Contrato!$C$16)</x:f>
        <x:v>209</x:v>
      </x:c>
      <x:c r="C32" s="130" t="n">
        <x:f>IF(A32="","",IF(AB32&lt;&gt;"",AB32,IF(Contrato!$C$14="Mensal",EDATE(Contrato!$C$13,A32-1),Contrato!$C$13+(A32-1)*IF(Contrato!$C$14="Quinzenal",14,IF(Contrato!$C$14="Semanal",7,1)))))</x:f>
        <x:v>46437</x:v>
      </x:c>
      <x:c r="D32" s="131" t="n">
        <x:f>IF(A32="","",W31)</x:f>
        <x:v>10377.87</x:v>
      </x:c>
      <x:c r="E32" s="131" t="n">
        <x:f>IF(A32="","",ROUND(D32*Simulador!$I$18,2))</x:f>
        <x:v>40.9</x:v>
      </x:c>
      <x:c r="F32" s="131" t="n">
        <x:f>IF(A32="","",ROUND(MIN(D32,MAX(G32-E32,0)),2))</x:f>
        <x:v>38.22</x:v>
      </x:c>
      <x:c r="G32" s="131" t="n">
        <x:f>IF(A32="","",IF(A32&lt;Contrato!$C$16,Contrato!$C$27,Contrato!$C$28))</x:f>
        <x:v>79.12</x:v>
      </x:c>
      <x:c r="H32" s="131" t="n">
        <x:f>IF(A32="","",Contrato!$C$29)</x:f>
        <x:v>199.99</x:v>
      </x:c>
      <x:c r="I32" s="131" t="n">
        <x:f>IF(A32="","",Contrato!$C$30)</x:f>
        <x:v>187.5</x:v>
      </x:c>
      <x:c r="J32" s="131" t="n">
        <x:f>IF(A32="","",Contrato!$C$31)</x:f>
        <x:v>0</x:v>
      </x:c>
      <x:c r="K32" s="131" t="n">
        <x:f>IF(A32="","",ROUND(SUM(G32:J32),2))</x:f>
        <x:v>466.61</x:v>
      </x:c>
      <x:c r="L32" s="80"/>
      <x:c r="M32" s="77"/>
      <x:c r="N32" s="29" t="str">
        <x:f>IF(A32="","",IF(L32&gt;=K32,"Paga",IF(L32&gt;0,"Paga parcialmente",IF(C32&lt;$A$5,"Vencida","Prevista"))))</x:f>
        <x:v>Prevista</x:v>
      </x:c>
      <x:c r="O32" s="29" t="n">
        <x:f>IF(A32="","",$A$5-C32)</x:f>
        <x:v>-177</x:v>
      </x:c>
      <x:c r="P32" s="131" t="n">
        <x:f>IF(A32="","",IF(AND(O32&gt;0,MAX(K32-L32,0)&gt;0,N32&lt;&gt;"Paga"),ROUND(MAX(K32-L32,0)*'Parâmetros'!$B$34,2),0))</x:f>
        <x:v>0</x:v>
      </x:c>
      <x:c r="Q32" s="131" t="n">
        <x:f>IF(A32="","",IF(AND(O32&gt;0,MAX(K32-L32,0)&gt;0,N32&lt;&gt;"Paga"),ROUND(MAX(K32-L32,0)*'Parâmetros'!$B$35*(O32/'Parâmetros'!$B$33),2),0))</x:f>
        <x:v>0</x:v>
      </x:c>
      <x:c r="R32" s="131" t="n">
        <x:f>IF(A32="","",IF(O32&gt;0,ROUND(MAX(K32-L32,0)+P32+Q32,2),0))</x:f>
        <x:v>0</x:v>
      </x:c>
      <x:c r="S32" s="131" t="n">
        <x:f>IF(A32="","",IF(OR(N32="Paga",O32&gt;0),0,ROUND(IF(K32=0,0,G32*MAX(K32-L32,0)/K32)/(1+'Parâmetros'!$C$13)^((C32-$A$5)/30),2)))</x:f>
        <x:v>72.47</x:v>
      </x:c>
      <x:c r="T32" s="131" t="n">
        <x:f>IF(A32="","",0)</x:f>
        <x:v>0</x:v>
      </x:c>
      <x:c r="U32" s="131" t="n">
        <x:f>IF(A32="","",0)</x:f>
        <x:v>0</x:v>
      </x:c>
      <x:c r="V32" s="131" t="n">
        <x:f>IF(A32="","",IF(N32="Paga",0,IF(O32&gt;0,R32,S32)))</x:f>
        <x:v>72.47</x:v>
      </x:c>
      <x:c r="W32" s="131" t="n">
        <x:f>IF(A32="","",ROUND(MAX(D32-F32,0),2))</x:f>
        <x:v>10339.65</x:v>
      </x:c>
      <x:c r="X32" s="131" t="n">
        <x:f>IF(A32="","",ROUND(SUM($G32:$G$407),2))</x:f>
        <x:v>14636</x:v>
      </x:c>
      <x:c r="Y32" s="131" t="n">
        <x:f>IF(A32="","",ROUND(MAX(X32-D32,0),2))</x:f>
        <x:v>4258.13</x:v>
      </x:c>
      <x:c r="Z32" s="131" t="n">
        <x:f>IF(A32="","",ROUND(SUM($V32:$V$407),2))</x:f>
        <x:v>9906.73</x:v>
      </x:c>
      <x:c r="AA32" s="131" t="n">
        <x:f>IF(A32="","",ROUND(SUM($K32:$K$407)-Z32,2))</x:f>
        <x:v>76414.92</x:v>
      </x:c>
      <x:c r="AB32" s="77"/>
      <x:c r="AC32" s="36" t="str">
        <x:f>IF(A32="","",IF(O32&gt;0,"Vencido: saldo da fatura + mora",IF(O32&lt;=0,"Vincendo: VP da parcela financeira; comissão/proteção futuras isentas","")))</x:f>
        <x:v>Vincendo: VP da parcela financeira; comissão/proteção futuras isentas</x:v>
      </x:c>
    </x:row>
    <x:row r="33">
      <x:c r="A33" s="129" t="n">
        <x:f>IF(ROW()-7&lt;=Contrato!$C$16,ROW()-7,"")</x:f>
        <x:v>26</x:v>
      </x:c>
      <x:c r="B33" s="129" t="n">
        <x:f>IF(A33="","",Contrato!$C$16)</x:f>
        <x:v>209</x:v>
      </x:c>
      <x:c r="C33" s="130" t="n">
        <x:f>IF(A33="","",IF(AB33&lt;&gt;"",AB33,IF(Contrato!$C$14="Mensal",EDATE(Contrato!$C$13,A33-1),Contrato!$C$13+(A33-1)*IF(Contrato!$C$14="Quinzenal",14,IF(Contrato!$C$14="Semanal",7,1)))))</x:f>
        <x:v>46444</x:v>
      </x:c>
      <x:c r="D33" s="131" t="n">
        <x:f>IF(A33="","",W32)</x:f>
        <x:v>10339.65</x:v>
      </x:c>
      <x:c r="E33" s="131" t="n">
        <x:f>IF(A33="","",ROUND(D33*Simulador!$I$18,2))</x:f>
        <x:v>40.75</x:v>
      </x:c>
      <x:c r="F33" s="131" t="n">
        <x:f>IF(A33="","",ROUND(MIN(D33,MAX(G33-E33,0)),2))</x:f>
        <x:v>38.37</x:v>
      </x:c>
      <x:c r="G33" s="131" t="n">
        <x:f>IF(A33="","",IF(A33&lt;Contrato!$C$16,Contrato!$C$27,Contrato!$C$28))</x:f>
        <x:v>79.12</x:v>
      </x:c>
      <x:c r="H33" s="131" t="n">
        <x:f>IF(A33="","",Contrato!$C$29)</x:f>
        <x:v>199.99</x:v>
      </x:c>
      <x:c r="I33" s="131" t="n">
        <x:f>IF(A33="","",Contrato!$C$30)</x:f>
        <x:v>187.5</x:v>
      </x:c>
      <x:c r="J33" s="131" t="n">
        <x:f>IF(A33="","",Contrato!$C$31)</x:f>
        <x:v>0</x:v>
      </x:c>
      <x:c r="K33" s="131" t="n">
        <x:f>IF(A33="","",ROUND(SUM(G33:J33),2))</x:f>
        <x:v>466.61</x:v>
      </x:c>
      <x:c r="L33" s="80"/>
      <x:c r="M33" s="77"/>
      <x:c r="N33" s="29" t="str">
        <x:f>IF(A33="","",IF(L33&gt;=K33,"Paga",IF(L33&gt;0,"Paga parcialmente",IF(C33&lt;$A$5,"Vencida","Prevista"))))</x:f>
        <x:v>Prevista</x:v>
      </x:c>
      <x:c r="O33" s="29" t="n">
        <x:f>IF(A33="","",$A$5-C33)</x:f>
        <x:v>-184</x:v>
      </x:c>
      <x:c r="P33" s="131" t="n">
        <x:f>IF(A33="","",IF(AND(O33&gt;0,MAX(K33-L33,0)&gt;0,N33&lt;&gt;"Paga"),ROUND(MAX(K33-L33,0)*'Parâmetros'!$B$34,2),0))</x:f>
        <x:v>0</x:v>
      </x:c>
      <x:c r="Q33" s="131" t="n">
        <x:f>IF(A33="","",IF(AND(O33&gt;0,MAX(K33-L33,0)&gt;0,N33&lt;&gt;"Paga"),ROUND(MAX(K33-L33,0)*'Parâmetros'!$B$35*(O33/'Parâmetros'!$B$33),2),0))</x:f>
        <x:v>0</x:v>
      </x:c>
      <x:c r="R33" s="131" t="n">
        <x:f>IF(A33="","",IF(O33&gt;0,ROUND(MAX(K33-L33,0)+P33+Q33,2),0))</x:f>
        <x:v>0</x:v>
      </x:c>
      <x:c r="S33" s="131" t="n">
        <x:f>IF(A33="","",IF(OR(N33="Paga",O33&gt;0),0,ROUND(IF(K33=0,0,G33*MAX(K33-L33,0)/K33)/(1+'Parâmetros'!$C$13)^((C33-$A$5)/30),2)))</x:f>
        <x:v>72.22</x:v>
      </x:c>
      <x:c r="T33" s="131" t="n">
        <x:f>IF(A33="","",0)</x:f>
        <x:v>0</x:v>
      </x:c>
      <x:c r="U33" s="131" t="n">
        <x:f>IF(A33="","",0)</x:f>
        <x:v>0</x:v>
      </x:c>
      <x:c r="V33" s="131" t="n">
        <x:f>IF(A33="","",IF(N33="Paga",0,IF(O33&gt;0,R33,S33)))</x:f>
        <x:v>72.22</x:v>
      </x:c>
      <x:c r="W33" s="131" t="n">
        <x:f>IF(A33="","",ROUND(MAX(D33-F33,0),2))</x:f>
        <x:v>10301.28</x:v>
      </x:c>
      <x:c r="X33" s="131" t="n">
        <x:f>IF(A33="","",ROUND(SUM($G33:$G$407),2))</x:f>
        <x:v>14556.88</x:v>
      </x:c>
      <x:c r="Y33" s="131" t="n">
        <x:f>IF(A33="","",ROUND(MAX(X33-D33,0),2))</x:f>
        <x:v>4217.23</x:v>
      </x:c>
      <x:c r="Z33" s="131" t="n">
        <x:f>IF(A33="","",ROUND(SUM($V33:$V$407),2))</x:f>
        <x:v>9834.26</x:v>
      </x:c>
      <x:c r="AA33" s="131" t="n">
        <x:f>IF(A33="","",ROUND(SUM($K33:$K$407)-Z33,2))</x:f>
        <x:v>76020.78</x:v>
      </x:c>
      <x:c r="AB33" s="77"/>
      <x:c r="AC33" s="36" t="str">
        <x:f>IF(A33="","",IF(O33&gt;0,"Vencido: saldo da fatura + mora",IF(O33&lt;=0,"Vincendo: VP da parcela financeira; comissão/proteção futuras isentas","")))</x:f>
        <x:v>Vincendo: VP da parcela financeira; comissão/proteção futuras isentas</x:v>
      </x:c>
    </x:row>
    <x:row r="34">
      <x:c r="A34" s="129" t="n">
        <x:f>IF(ROW()-7&lt;=Contrato!$C$16,ROW()-7,"")</x:f>
        <x:v>27</x:v>
      </x:c>
      <x:c r="B34" s="129" t="n">
        <x:f>IF(A34="","",Contrato!$C$16)</x:f>
        <x:v>209</x:v>
      </x:c>
      <x:c r="C34" s="130" t="n">
        <x:f>IF(A34="","",IF(AB34&lt;&gt;"",AB34,IF(Contrato!$C$14="Mensal",EDATE(Contrato!$C$13,A34-1),Contrato!$C$13+(A34-1)*IF(Contrato!$C$14="Quinzenal",14,IF(Contrato!$C$14="Semanal",7,1)))))</x:f>
        <x:v>46451</x:v>
      </x:c>
      <x:c r="D34" s="131" t="n">
        <x:f>IF(A34="","",W33)</x:f>
        <x:v>10301.28</x:v>
      </x:c>
      <x:c r="E34" s="131" t="n">
        <x:f>IF(A34="","",ROUND(D34*Simulador!$I$18,2))</x:f>
        <x:v>40.6</x:v>
      </x:c>
      <x:c r="F34" s="131" t="n">
        <x:f>IF(A34="","",ROUND(MIN(D34,MAX(G34-E34,0)),2))</x:f>
        <x:v>38.52</x:v>
      </x:c>
      <x:c r="G34" s="131" t="n">
        <x:f>IF(A34="","",IF(A34&lt;Contrato!$C$16,Contrato!$C$27,Contrato!$C$28))</x:f>
        <x:v>79.12</x:v>
      </x:c>
      <x:c r="H34" s="131" t="n">
        <x:f>IF(A34="","",Contrato!$C$29)</x:f>
        <x:v>199.99</x:v>
      </x:c>
      <x:c r="I34" s="131" t="n">
        <x:f>IF(A34="","",Contrato!$C$30)</x:f>
        <x:v>187.5</x:v>
      </x:c>
      <x:c r="J34" s="131" t="n">
        <x:f>IF(A34="","",Contrato!$C$31)</x:f>
        <x:v>0</x:v>
      </x:c>
      <x:c r="K34" s="131" t="n">
        <x:f>IF(A34="","",ROUND(SUM(G34:J34),2))</x:f>
        <x:v>466.61</x:v>
      </x:c>
      <x:c r="L34" s="80"/>
      <x:c r="M34" s="77"/>
      <x:c r="N34" s="29" t="str">
        <x:f>IF(A34="","",IF(L34&gt;=K34,"Paga",IF(L34&gt;0,"Paga parcialmente",IF(C34&lt;$A$5,"Vencida","Prevista"))))</x:f>
        <x:v>Prevista</x:v>
      </x:c>
      <x:c r="O34" s="29" t="n">
        <x:f>IF(A34="","",$A$5-C34)</x:f>
        <x:v>-191</x:v>
      </x:c>
      <x:c r="P34" s="131" t="n">
        <x:f>IF(A34="","",IF(AND(O34&gt;0,MAX(K34-L34,0)&gt;0,N34&lt;&gt;"Paga"),ROUND(MAX(K34-L34,0)*'Parâmetros'!$B$34,2),0))</x:f>
        <x:v>0</x:v>
      </x:c>
      <x:c r="Q34" s="131" t="n">
        <x:f>IF(A34="","",IF(AND(O34&gt;0,MAX(K34-L34,0)&gt;0,N34&lt;&gt;"Paga"),ROUND(MAX(K34-L34,0)*'Parâmetros'!$B$35*(O34/'Parâmetros'!$B$33),2),0))</x:f>
        <x:v>0</x:v>
      </x:c>
      <x:c r="R34" s="131" t="n">
        <x:f>IF(A34="","",IF(O34&gt;0,ROUND(MAX(K34-L34,0)+P34+Q34,2),0))</x:f>
        <x:v>0</x:v>
      </x:c>
      <x:c r="S34" s="131" t="n">
        <x:f>IF(A34="","",IF(OR(N34="Paga",O34&gt;0),0,ROUND(IF(K34=0,0,G34*MAX(K34-L34,0)/K34)/(1+'Parâmetros'!$C$13)^((C34-$A$5)/30),2)))</x:f>
        <x:v>71.96</x:v>
      </x:c>
      <x:c r="T34" s="131" t="n">
        <x:f>IF(A34="","",0)</x:f>
        <x:v>0</x:v>
      </x:c>
      <x:c r="U34" s="131" t="n">
        <x:f>IF(A34="","",0)</x:f>
        <x:v>0</x:v>
      </x:c>
      <x:c r="V34" s="131" t="n">
        <x:f>IF(A34="","",IF(N34="Paga",0,IF(O34&gt;0,R34,S34)))</x:f>
        <x:v>71.96</x:v>
      </x:c>
      <x:c r="W34" s="131" t="n">
        <x:f>IF(A34="","",ROUND(MAX(D34-F34,0),2))</x:f>
        <x:v>10262.76</x:v>
      </x:c>
      <x:c r="X34" s="131" t="n">
        <x:f>IF(A34="","",ROUND(SUM($G34:$G$407),2))</x:f>
        <x:v>14477.76</x:v>
      </x:c>
      <x:c r="Y34" s="131" t="n">
        <x:f>IF(A34="","",ROUND(MAX(X34-D34,0),2))</x:f>
        <x:v>4176.48</x:v>
      </x:c>
      <x:c r="Z34" s="131" t="n">
        <x:f>IF(A34="","",ROUND(SUM($V34:$V$407),2))</x:f>
        <x:v>9762.04</x:v>
      </x:c>
      <x:c r="AA34" s="131" t="n">
        <x:f>IF(A34="","",ROUND(SUM($K34:$K$407)-Z34,2))</x:f>
        <x:v>75626.39</x:v>
      </x:c>
      <x:c r="AB34" s="77"/>
      <x:c r="AC34" s="36" t="str">
        <x:f>IF(A34="","",IF(O34&gt;0,"Vencido: saldo da fatura + mora",IF(O34&lt;=0,"Vincendo: VP da parcela financeira; comissão/proteção futuras isentas","")))</x:f>
        <x:v>Vincendo: VP da parcela financeira; comissão/proteção futuras isentas</x:v>
      </x:c>
    </x:row>
    <x:row r="35">
      <x:c r="A35" s="129" t="n">
        <x:f>IF(ROW()-7&lt;=Contrato!$C$16,ROW()-7,"")</x:f>
        <x:v>28</x:v>
      </x:c>
      <x:c r="B35" s="129" t="n">
        <x:f>IF(A35="","",Contrato!$C$16)</x:f>
        <x:v>209</x:v>
      </x:c>
      <x:c r="C35" s="130" t="n">
        <x:f>IF(A35="","",IF(AB35&lt;&gt;"",AB35,IF(Contrato!$C$14="Mensal",EDATE(Contrato!$C$13,A35-1),Contrato!$C$13+(A35-1)*IF(Contrato!$C$14="Quinzenal",14,IF(Contrato!$C$14="Semanal",7,1)))))</x:f>
        <x:v>46458</x:v>
      </x:c>
      <x:c r="D35" s="131" t="n">
        <x:f>IF(A35="","",W34)</x:f>
        <x:v>10262.76</x:v>
      </x:c>
      <x:c r="E35" s="131" t="n">
        <x:f>IF(A35="","",ROUND(D35*Simulador!$I$18,2))</x:f>
        <x:v>40.45</x:v>
      </x:c>
      <x:c r="F35" s="131" t="n">
        <x:f>IF(A35="","",ROUND(MIN(D35,MAX(G35-E35,0)),2))</x:f>
        <x:v>38.67</x:v>
      </x:c>
      <x:c r="G35" s="131" t="n">
        <x:f>IF(A35="","",IF(A35&lt;Contrato!$C$16,Contrato!$C$27,Contrato!$C$28))</x:f>
        <x:v>79.12</x:v>
      </x:c>
      <x:c r="H35" s="131" t="n">
        <x:f>IF(A35="","",Contrato!$C$29)</x:f>
        <x:v>199.99</x:v>
      </x:c>
      <x:c r="I35" s="131" t="n">
        <x:f>IF(A35="","",Contrato!$C$30)</x:f>
        <x:v>187.5</x:v>
      </x:c>
      <x:c r="J35" s="131" t="n">
        <x:f>IF(A35="","",Contrato!$C$31)</x:f>
        <x:v>0</x:v>
      </x:c>
      <x:c r="K35" s="131" t="n">
        <x:f>IF(A35="","",ROUND(SUM(G35:J35),2))</x:f>
        <x:v>466.61</x:v>
      </x:c>
      <x:c r="L35" s="80"/>
      <x:c r="M35" s="77"/>
      <x:c r="N35" s="29" t="str">
        <x:f>IF(A35="","",IF(L35&gt;=K35,"Paga",IF(L35&gt;0,"Paga parcialmente",IF(C35&lt;$A$5,"Vencida","Prevista"))))</x:f>
        <x:v>Prevista</x:v>
      </x:c>
      <x:c r="O35" s="29" t="n">
        <x:f>IF(A35="","",$A$5-C35)</x:f>
        <x:v>-198</x:v>
      </x:c>
      <x:c r="P35" s="131" t="n">
        <x:f>IF(A35="","",IF(AND(O35&gt;0,MAX(K35-L35,0)&gt;0,N35&lt;&gt;"Paga"),ROUND(MAX(K35-L35,0)*'Parâmetros'!$B$34,2),0))</x:f>
        <x:v>0</x:v>
      </x:c>
      <x:c r="Q35" s="131" t="n">
        <x:f>IF(A35="","",IF(AND(O35&gt;0,MAX(K35-L35,0)&gt;0,N35&lt;&gt;"Paga"),ROUND(MAX(K35-L35,0)*'Parâmetros'!$B$35*(O35/'Parâmetros'!$B$33),2),0))</x:f>
        <x:v>0</x:v>
      </x:c>
      <x:c r="R35" s="131" t="n">
        <x:f>IF(A35="","",IF(O35&gt;0,ROUND(MAX(K35-L35,0)+P35+Q35,2),0))</x:f>
        <x:v>0</x:v>
      </x:c>
      <x:c r="S35" s="131" t="n">
        <x:f>IF(A35="","",IF(OR(N35="Paga",O35&gt;0),0,ROUND(IF(K35=0,0,G35*MAX(K35-L35,0)/K35)/(1+'Parâmetros'!$C$13)^((C35-$A$5)/30),2)))</x:f>
        <x:v>71.72</x:v>
      </x:c>
      <x:c r="T35" s="131" t="n">
        <x:f>IF(A35="","",0)</x:f>
        <x:v>0</x:v>
      </x:c>
      <x:c r="U35" s="131" t="n">
        <x:f>IF(A35="","",0)</x:f>
        <x:v>0</x:v>
      </x:c>
      <x:c r="V35" s="131" t="n">
        <x:f>IF(A35="","",IF(N35="Paga",0,IF(O35&gt;0,R35,S35)))</x:f>
        <x:v>71.72</x:v>
      </x:c>
      <x:c r="W35" s="131" t="n">
        <x:f>IF(A35="","",ROUND(MAX(D35-F35,0),2))</x:f>
        <x:v>10224.09</x:v>
      </x:c>
      <x:c r="X35" s="131" t="n">
        <x:f>IF(A35="","",ROUND(SUM($G35:$G$407),2))</x:f>
        <x:v>14398.64</x:v>
      </x:c>
      <x:c r="Y35" s="131" t="n">
        <x:f>IF(A35="","",ROUND(MAX(X35-D35,0),2))</x:f>
        <x:v>4135.88</x:v>
      </x:c>
      <x:c r="Z35" s="131" t="n">
        <x:f>IF(A35="","",ROUND(SUM($V35:$V$407),2))</x:f>
        <x:v>9690.08</x:v>
      </x:c>
      <x:c r="AA35" s="131" t="n">
        <x:f>IF(A35="","",ROUND(SUM($K35:$K$407)-Z35,2))</x:f>
        <x:v>75231.74</x:v>
      </x:c>
      <x:c r="AB35" s="77"/>
      <x:c r="AC35" s="36" t="str">
        <x:f>IF(A35="","",IF(O35&gt;0,"Vencido: saldo da fatura + mora",IF(O35&lt;=0,"Vincendo: VP da parcela financeira; comissão/proteção futuras isentas","")))</x:f>
        <x:v>Vincendo: VP da parcela financeira; comissão/proteção futuras isentas</x:v>
      </x:c>
    </x:row>
    <x:row r="36">
      <x:c r="A36" s="129" t="n">
        <x:f>IF(ROW()-7&lt;=Contrato!$C$16,ROW()-7,"")</x:f>
        <x:v>29</x:v>
      </x:c>
      <x:c r="B36" s="129" t="n">
        <x:f>IF(A36="","",Contrato!$C$16)</x:f>
        <x:v>209</x:v>
      </x:c>
      <x:c r="C36" s="130" t="n">
        <x:f>IF(A36="","",IF(AB36&lt;&gt;"",AB36,IF(Contrato!$C$14="Mensal",EDATE(Contrato!$C$13,A36-1),Contrato!$C$13+(A36-1)*IF(Contrato!$C$14="Quinzenal",14,IF(Contrato!$C$14="Semanal",7,1)))))</x:f>
        <x:v>46465</x:v>
      </x:c>
      <x:c r="D36" s="131" t="n">
        <x:f>IF(A36="","",W35)</x:f>
        <x:v>10224.09</x:v>
      </x:c>
      <x:c r="E36" s="131" t="n">
        <x:f>IF(A36="","",ROUND(D36*Simulador!$I$18,2))</x:f>
        <x:v>40.29</x:v>
      </x:c>
      <x:c r="F36" s="131" t="n">
        <x:f>IF(A36="","",ROUND(MIN(D36,MAX(G36-E36,0)),2))</x:f>
        <x:v>38.83</x:v>
      </x:c>
      <x:c r="G36" s="131" t="n">
        <x:f>IF(A36="","",IF(A36&lt;Contrato!$C$16,Contrato!$C$27,Contrato!$C$28))</x:f>
        <x:v>79.12</x:v>
      </x:c>
      <x:c r="H36" s="131" t="n">
        <x:f>IF(A36="","",Contrato!$C$29)</x:f>
        <x:v>199.99</x:v>
      </x:c>
      <x:c r="I36" s="131" t="n">
        <x:f>IF(A36="","",Contrato!$C$30)</x:f>
        <x:v>187.5</x:v>
      </x:c>
      <x:c r="J36" s="131" t="n">
        <x:f>IF(A36="","",Contrato!$C$31)</x:f>
        <x:v>0</x:v>
      </x:c>
      <x:c r="K36" s="131" t="n">
        <x:f>IF(A36="","",ROUND(SUM(G36:J36),2))</x:f>
        <x:v>466.61</x:v>
      </x:c>
      <x:c r="L36" s="80"/>
      <x:c r="M36" s="77"/>
      <x:c r="N36" s="29" t="str">
        <x:f>IF(A36="","",IF(L36&gt;=K36,"Paga",IF(L36&gt;0,"Paga parcialmente",IF(C36&lt;$A$5,"Vencida","Prevista"))))</x:f>
        <x:v>Prevista</x:v>
      </x:c>
      <x:c r="O36" s="29" t="n">
        <x:f>IF(A36="","",$A$5-C36)</x:f>
        <x:v>-205</x:v>
      </x:c>
      <x:c r="P36" s="131" t="n">
        <x:f>IF(A36="","",IF(AND(O36&gt;0,MAX(K36-L36,0)&gt;0,N36&lt;&gt;"Paga"),ROUND(MAX(K36-L36,0)*'Parâmetros'!$B$34,2),0))</x:f>
        <x:v>0</x:v>
      </x:c>
      <x:c r="Q36" s="131" t="n">
        <x:f>IF(A36="","",IF(AND(O36&gt;0,MAX(K36-L36,0)&gt;0,N36&lt;&gt;"Paga"),ROUND(MAX(K36-L36,0)*'Parâmetros'!$B$35*(O36/'Parâmetros'!$B$33),2),0))</x:f>
        <x:v>0</x:v>
      </x:c>
      <x:c r="R36" s="131" t="n">
        <x:f>IF(A36="","",IF(O36&gt;0,ROUND(MAX(K36-L36,0)+P36+Q36,2),0))</x:f>
        <x:v>0</x:v>
      </x:c>
      <x:c r="S36" s="131" t="n">
        <x:f>IF(A36="","",IF(OR(N36="Paga",O36&gt;0),0,ROUND(IF(K36=0,0,G36*MAX(K36-L36,0)/K36)/(1+'Parâmetros'!$C$13)^((C36-$A$5)/30),2)))</x:f>
        <x:v>71.47</x:v>
      </x:c>
      <x:c r="T36" s="131" t="n">
        <x:f>IF(A36="","",0)</x:f>
        <x:v>0</x:v>
      </x:c>
      <x:c r="U36" s="131" t="n">
        <x:f>IF(A36="","",0)</x:f>
        <x:v>0</x:v>
      </x:c>
      <x:c r="V36" s="131" t="n">
        <x:f>IF(A36="","",IF(N36="Paga",0,IF(O36&gt;0,R36,S36)))</x:f>
        <x:v>71.47</x:v>
      </x:c>
      <x:c r="W36" s="131" t="n">
        <x:f>IF(A36="","",ROUND(MAX(D36-F36,0),2))</x:f>
        <x:v>10185.26</x:v>
      </x:c>
      <x:c r="X36" s="131" t="n">
        <x:f>IF(A36="","",ROUND(SUM($G36:$G$407),2))</x:f>
        <x:v>14319.52</x:v>
      </x:c>
      <x:c r="Y36" s="131" t="n">
        <x:f>IF(A36="","",ROUND(MAX(X36-D36,0),2))</x:f>
        <x:v>4095.43</x:v>
      </x:c>
      <x:c r="Z36" s="131" t="n">
        <x:f>IF(A36="","",ROUND(SUM($V36:$V$407),2))</x:f>
        <x:v>9618.36</x:v>
      </x:c>
      <x:c r="AA36" s="131" t="n">
        <x:f>IF(A36="","",ROUND(SUM($K36:$K$407)-Z36,2))</x:f>
        <x:v>74836.85</x:v>
      </x:c>
      <x:c r="AB36" s="77"/>
      <x:c r="AC36" s="36" t="str">
        <x:f>IF(A36="","",IF(O36&gt;0,"Vencido: saldo da fatura + mora",IF(O36&lt;=0,"Vincendo: VP da parcela financeira; comissão/proteção futuras isentas","")))</x:f>
        <x:v>Vincendo: VP da parcela financeira; comissão/proteção futuras isentas</x:v>
      </x:c>
    </x:row>
    <x:row r="37">
      <x:c r="A37" s="129" t="n">
        <x:f>IF(ROW()-7&lt;=Contrato!$C$16,ROW()-7,"")</x:f>
        <x:v>30</x:v>
      </x:c>
      <x:c r="B37" s="129" t="n">
        <x:f>IF(A37="","",Contrato!$C$16)</x:f>
        <x:v>209</x:v>
      </x:c>
      <x:c r="C37" s="130" t="n">
        <x:f>IF(A37="","",IF(AB37&lt;&gt;"",AB37,IF(Contrato!$C$14="Mensal",EDATE(Contrato!$C$13,A37-1),Contrato!$C$13+(A37-1)*IF(Contrato!$C$14="Quinzenal",14,IF(Contrato!$C$14="Semanal",7,1)))))</x:f>
        <x:v>46472</x:v>
      </x:c>
      <x:c r="D37" s="131" t="n">
        <x:f>IF(A37="","",W36)</x:f>
        <x:v>10185.26</x:v>
      </x:c>
      <x:c r="E37" s="131" t="n">
        <x:f>IF(A37="","",ROUND(D37*Simulador!$I$18,2))</x:f>
        <x:v>40.14</x:v>
      </x:c>
      <x:c r="F37" s="131" t="n">
        <x:f>IF(A37="","",ROUND(MIN(D37,MAX(G37-E37,0)),2))</x:f>
        <x:v>38.98</x:v>
      </x:c>
      <x:c r="G37" s="131" t="n">
        <x:f>IF(A37="","",IF(A37&lt;Contrato!$C$16,Contrato!$C$27,Contrato!$C$28))</x:f>
        <x:v>79.12</x:v>
      </x:c>
      <x:c r="H37" s="131" t="n">
        <x:f>IF(A37="","",Contrato!$C$29)</x:f>
        <x:v>199.99</x:v>
      </x:c>
      <x:c r="I37" s="131" t="n">
        <x:f>IF(A37="","",Contrato!$C$30)</x:f>
        <x:v>187.5</x:v>
      </x:c>
      <x:c r="J37" s="131" t="n">
        <x:f>IF(A37="","",Contrato!$C$31)</x:f>
        <x:v>0</x:v>
      </x:c>
      <x:c r="K37" s="131" t="n">
        <x:f>IF(A37="","",ROUND(SUM(G37:J37),2))</x:f>
        <x:v>466.61</x:v>
      </x:c>
      <x:c r="L37" s="80"/>
      <x:c r="M37" s="77"/>
      <x:c r="N37" s="29" t="str">
        <x:f>IF(A37="","",IF(L37&gt;=K37,"Paga",IF(L37&gt;0,"Paga parcialmente",IF(C37&lt;$A$5,"Vencida","Prevista"))))</x:f>
        <x:v>Prevista</x:v>
      </x:c>
      <x:c r="O37" s="29" t="n">
        <x:f>IF(A37="","",$A$5-C37)</x:f>
        <x:v>-212</x:v>
      </x:c>
      <x:c r="P37" s="131" t="n">
        <x:f>IF(A37="","",IF(AND(O37&gt;0,MAX(K37-L37,0)&gt;0,N37&lt;&gt;"Paga"),ROUND(MAX(K37-L37,0)*'Parâmetros'!$B$34,2),0))</x:f>
        <x:v>0</x:v>
      </x:c>
      <x:c r="Q37" s="131" t="n">
        <x:f>IF(A37="","",IF(AND(O37&gt;0,MAX(K37-L37,0)&gt;0,N37&lt;&gt;"Paga"),ROUND(MAX(K37-L37,0)*'Parâmetros'!$B$35*(O37/'Parâmetros'!$B$33),2),0))</x:f>
        <x:v>0</x:v>
      </x:c>
      <x:c r="R37" s="131" t="n">
        <x:f>IF(A37="","",IF(O37&gt;0,ROUND(MAX(K37-L37,0)+P37+Q37,2),0))</x:f>
        <x:v>0</x:v>
      </x:c>
      <x:c r="S37" s="131" t="n">
        <x:f>IF(A37="","",IF(OR(N37="Paga",O37&gt;0),0,ROUND(IF(K37=0,0,G37*MAX(K37-L37,0)/K37)/(1+'Parâmetros'!$C$13)^((C37-$A$5)/30),2)))</x:f>
        <x:v>71.22</x:v>
      </x:c>
      <x:c r="T37" s="131" t="n">
        <x:f>IF(A37="","",0)</x:f>
        <x:v>0</x:v>
      </x:c>
      <x:c r="U37" s="131" t="n">
        <x:f>IF(A37="","",0)</x:f>
        <x:v>0</x:v>
      </x:c>
      <x:c r="V37" s="131" t="n">
        <x:f>IF(A37="","",IF(N37="Paga",0,IF(O37&gt;0,R37,S37)))</x:f>
        <x:v>71.22</x:v>
      </x:c>
      <x:c r="W37" s="131" t="n">
        <x:f>IF(A37="","",ROUND(MAX(D37-F37,0),2))</x:f>
        <x:v>10146.28</x:v>
      </x:c>
      <x:c r="X37" s="131" t="n">
        <x:f>IF(A37="","",ROUND(SUM($G37:$G$407),2))</x:f>
        <x:v>14240.4</x:v>
      </x:c>
      <x:c r="Y37" s="131" t="n">
        <x:f>IF(A37="","",ROUND(MAX(X37-D37,0),2))</x:f>
        <x:v>4055.14</x:v>
      </x:c>
      <x:c r="Z37" s="131" t="n">
        <x:f>IF(A37="","",ROUND(SUM($V37:$V$407),2))</x:f>
        <x:v>9546.89</x:v>
      </x:c>
      <x:c r="AA37" s="131" t="n">
        <x:f>IF(A37="","",ROUND(SUM($K37:$K$407)-Z37,2))</x:f>
        <x:v>74441.71</x:v>
      </x:c>
      <x:c r="AB37" s="77"/>
      <x:c r="AC37" s="36" t="str">
        <x:f>IF(A37="","",IF(O37&gt;0,"Vencido: saldo da fatura + mora",IF(O37&lt;=0,"Vincendo: VP da parcela financeira; comissão/proteção futuras isentas","")))</x:f>
        <x:v>Vincendo: VP da parcela financeira; comissão/proteção futuras isentas</x:v>
      </x:c>
    </x:row>
    <x:row r="38">
      <x:c r="A38" s="129" t="n">
        <x:f>IF(ROW()-7&lt;=Contrato!$C$16,ROW()-7,"")</x:f>
        <x:v>31</x:v>
      </x:c>
      <x:c r="B38" s="129" t="n">
        <x:f>IF(A38="","",Contrato!$C$16)</x:f>
        <x:v>209</x:v>
      </x:c>
      <x:c r="C38" s="130" t="n">
        <x:f>IF(A38="","",IF(AB38&lt;&gt;"",AB38,IF(Contrato!$C$14="Mensal",EDATE(Contrato!$C$13,A38-1),Contrato!$C$13+(A38-1)*IF(Contrato!$C$14="Quinzenal",14,IF(Contrato!$C$14="Semanal",7,1)))))</x:f>
        <x:v>46479</x:v>
      </x:c>
      <x:c r="D38" s="131" t="n">
        <x:f>IF(A38="","",W37)</x:f>
        <x:v>10146.28</x:v>
      </x:c>
      <x:c r="E38" s="131" t="n">
        <x:f>IF(A38="","",ROUND(D38*Simulador!$I$18,2))</x:f>
        <x:v>39.99</x:v>
      </x:c>
      <x:c r="F38" s="131" t="n">
        <x:f>IF(A38="","",ROUND(MIN(D38,MAX(G38-E38,0)),2))</x:f>
        <x:v>39.13</x:v>
      </x:c>
      <x:c r="G38" s="131" t="n">
        <x:f>IF(A38="","",IF(A38&lt;Contrato!$C$16,Contrato!$C$27,Contrato!$C$28))</x:f>
        <x:v>79.12</x:v>
      </x:c>
      <x:c r="H38" s="131" t="n">
        <x:f>IF(A38="","",Contrato!$C$29)</x:f>
        <x:v>199.99</x:v>
      </x:c>
      <x:c r="I38" s="131" t="n">
        <x:f>IF(A38="","",Contrato!$C$30)</x:f>
        <x:v>187.5</x:v>
      </x:c>
      <x:c r="J38" s="131" t="n">
        <x:f>IF(A38="","",Contrato!$C$31)</x:f>
        <x:v>0</x:v>
      </x:c>
      <x:c r="K38" s="131" t="n">
        <x:f>IF(A38="","",ROUND(SUM(G38:J38),2))</x:f>
        <x:v>466.61</x:v>
      </x:c>
      <x:c r="L38" s="80"/>
      <x:c r="M38" s="77"/>
      <x:c r="N38" s="29" t="str">
        <x:f>IF(A38="","",IF(L38&gt;=K38,"Paga",IF(L38&gt;0,"Paga parcialmente",IF(C38&lt;$A$5,"Vencida","Prevista"))))</x:f>
        <x:v>Prevista</x:v>
      </x:c>
      <x:c r="O38" s="29" t="n">
        <x:f>IF(A38="","",$A$5-C38)</x:f>
        <x:v>-219</x:v>
      </x:c>
      <x:c r="P38" s="131" t="n">
        <x:f>IF(A38="","",IF(AND(O38&gt;0,MAX(K38-L38,0)&gt;0,N38&lt;&gt;"Paga"),ROUND(MAX(K38-L38,0)*'Parâmetros'!$B$34,2),0))</x:f>
        <x:v>0</x:v>
      </x:c>
      <x:c r="Q38" s="131" t="n">
        <x:f>IF(A38="","",IF(AND(O38&gt;0,MAX(K38-L38,0)&gt;0,N38&lt;&gt;"Paga"),ROUND(MAX(K38-L38,0)*'Parâmetros'!$B$35*(O38/'Parâmetros'!$B$33),2),0))</x:f>
        <x:v>0</x:v>
      </x:c>
      <x:c r="R38" s="131" t="n">
        <x:f>IF(A38="","",IF(O38&gt;0,ROUND(MAX(K38-L38,0)+P38+Q38,2),0))</x:f>
        <x:v>0</x:v>
      </x:c>
      <x:c r="S38" s="131" t="n">
        <x:f>IF(A38="","",IF(OR(N38="Paga",O38&gt;0),0,ROUND(IF(K38=0,0,G38*MAX(K38-L38,0)/K38)/(1+'Parâmetros'!$C$13)^((C38-$A$5)/30),2)))</x:f>
        <x:v>70.97</x:v>
      </x:c>
      <x:c r="T38" s="131" t="n">
        <x:f>IF(A38="","",0)</x:f>
        <x:v>0</x:v>
      </x:c>
      <x:c r="U38" s="131" t="n">
        <x:f>IF(A38="","",0)</x:f>
        <x:v>0</x:v>
      </x:c>
      <x:c r="V38" s="131" t="n">
        <x:f>IF(A38="","",IF(N38="Paga",0,IF(O38&gt;0,R38,S38)))</x:f>
        <x:v>70.97</x:v>
      </x:c>
      <x:c r="W38" s="131" t="n">
        <x:f>IF(A38="","",ROUND(MAX(D38-F38,0),2))</x:f>
        <x:v>10107.15</x:v>
      </x:c>
      <x:c r="X38" s="131" t="n">
        <x:f>IF(A38="","",ROUND(SUM($G38:$G$407),2))</x:f>
        <x:v>14161.28</x:v>
      </x:c>
      <x:c r="Y38" s="131" t="n">
        <x:f>IF(A38="","",ROUND(MAX(X38-D38,0),2))</x:f>
        <x:v>4015</x:v>
      </x:c>
      <x:c r="Z38" s="131" t="n">
        <x:f>IF(A38="","",ROUND(SUM($V38:$V$407),2))</x:f>
        <x:v>9475.67</x:v>
      </x:c>
      <x:c r="AA38" s="131" t="n">
        <x:f>IF(A38="","",ROUND(SUM($K38:$K$407)-Z38,2))</x:f>
        <x:v>74046.32</x:v>
      </x:c>
      <x:c r="AB38" s="77"/>
      <x:c r="AC38" s="36" t="str">
        <x:f>IF(A38="","",IF(O38&gt;0,"Vencido: saldo da fatura + mora",IF(O38&lt;=0,"Vincendo: VP da parcela financeira; comissão/proteção futuras isentas","")))</x:f>
        <x:v>Vincendo: VP da parcela financeira; comissão/proteção futuras isentas</x:v>
      </x:c>
    </x:row>
    <x:row r="39">
      <x:c r="A39" s="129" t="n">
        <x:f>IF(ROW()-7&lt;=Contrato!$C$16,ROW()-7,"")</x:f>
        <x:v>32</x:v>
      </x:c>
      <x:c r="B39" s="129" t="n">
        <x:f>IF(A39="","",Contrato!$C$16)</x:f>
        <x:v>209</x:v>
      </x:c>
      <x:c r="C39" s="130" t="n">
        <x:f>IF(A39="","",IF(AB39&lt;&gt;"",AB39,IF(Contrato!$C$14="Mensal",EDATE(Contrato!$C$13,A39-1),Contrato!$C$13+(A39-1)*IF(Contrato!$C$14="Quinzenal",14,IF(Contrato!$C$14="Semanal",7,1)))))</x:f>
        <x:v>46486</x:v>
      </x:c>
      <x:c r="D39" s="131" t="n">
        <x:f>IF(A39="","",W38)</x:f>
        <x:v>10107.15</x:v>
      </x:c>
      <x:c r="E39" s="131" t="n">
        <x:f>IF(A39="","",ROUND(D39*Simulador!$I$18,2))</x:f>
        <x:v>39.83</x:v>
      </x:c>
      <x:c r="F39" s="131" t="n">
        <x:f>IF(A39="","",ROUND(MIN(D39,MAX(G39-E39,0)),2))</x:f>
        <x:v>39.29</x:v>
      </x:c>
      <x:c r="G39" s="131" t="n">
        <x:f>IF(A39="","",IF(A39&lt;Contrato!$C$16,Contrato!$C$27,Contrato!$C$28))</x:f>
        <x:v>79.12</x:v>
      </x:c>
      <x:c r="H39" s="131" t="n">
        <x:f>IF(A39="","",Contrato!$C$29)</x:f>
        <x:v>199.99</x:v>
      </x:c>
      <x:c r="I39" s="131" t="n">
        <x:f>IF(A39="","",Contrato!$C$30)</x:f>
        <x:v>187.5</x:v>
      </x:c>
      <x:c r="J39" s="131" t="n">
        <x:f>IF(A39="","",Contrato!$C$31)</x:f>
        <x:v>0</x:v>
      </x:c>
      <x:c r="K39" s="131" t="n">
        <x:f>IF(A39="","",ROUND(SUM(G39:J39),2))</x:f>
        <x:v>466.61</x:v>
      </x:c>
      <x:c r="L39" s="80"/>
      <x:c r="M39" s="77"/>
      <x:c r="N39" s="29" t="str">
        <x:f>IF(A39="","",IF(L39&gt;=K39,"Paga",IF(L39&gt;0,"Paga parcialmente",IF(C39&lt;$A$5,"Vencida","Prevista"))))</x:f>
        <x:v>Prevista</x:v>
      </x:c>
      <x:c r="O39" s="29" t="n">
        <x:f>IF(A39="","",$A$5-C39)</x:f>
        <x:v>-226</x:v>
      </x:c>
      <x:c r="P39" s="131" t="n">
        <x:f>IF(A39="","",IF(AND(O39&gt;0,MAX(K39-L39,0)&gt;0,N39&lt;&gt;"Paga"),ROUND(MAX(K39-L39,0)*'Parâmetros'!$B$34,2),0))</x:f>
        <x:v>0</x:v>
      </x:c>
      <x:c r="Q39" s="131" t="n">
        <x:f>IF(A39="","",IF(AND(O39&gt;0,MAX(K39-L39,0)&gt;0,N39&lt;&gt;"Paga"),ROUND(MAX(K39-L39,0)*'Parâmetros'!$B$35*(O39/'Parâmetros'!$B$33),2),0))</x:f>
        <x:v>0</x:v>
      </x:c>
      <x:c r="R39" s="131" t="n">
        <x:f>IF(A39="","",IF(O39&gt;0,ROUND(MAX(K39-L39,0)+P39+Q39,2),0))</x:f>
        <x:v>0</x:v>
      </x:c>
      <x:c r="S39" s="131" t="n">
        <x:f>IF(A39="","",IF(OR(N39="Paga",O39&gt;0),0,ROUND(IF(K39=0,0,G39*MAX(K39-L39,0)/K39)/(1+'Parâmetros'!$C$13)^((C39-$A$5)/30),2)))</x:f>
        <x:v>70.73</x:v>
      </x:c>
      <x:c r="T39" s="131" t="n">
        <x:f>IF(A39="","",0)</x:f>
        <x:v>0</x:v>
      </x:c>
      <x:c r="U39" s="131" t="n">
        <x:f>IF(A39="","",0)</x:f>
        <x:v>0</x:v>
      </x:c>
      <x:c r="V39" s="131" t="n">
        <x:f>IF(A39="","",IF(N39="Paga",0,IF(O39&gt;0,R39,S39)))</x:f>
        <x:v>70.73</x:v>
      </x:c>
      <x:c r="W39" s="131" t="n">
        <x:f>IF(A39="","",ROUND(MAX(D39-F39,0),2))</x:f>
        <x:v>10067.86</x:v>
      </x:c>
      <x:c r="X39" s="131" t="n">
        <x:f>IF(A39="","",ROUND(SUM($G39:$G$407),2))</x:f>
        <x:v>14082.16</x:v>
      </x:c>
      <x:c r="Y39" s="131" t="n">
        <x:f>IF(A39="","",ROUND(MAX(X39-D39,0),2))</x:f>
        <x:v>3975.01</x:v>
      </x:c>
      <x:c r="Z39" s="131" t="n">
        <x:f>IF(A39="","",ROUND(SUM($V39:$V$407),2))</x:f>
        <x:v>9404.7</x:v>
      </x:c>
      <x:c r="AA39" s="131" t="n">
        <x:f>IF(A39="","",ROUND(SUM($K39:$K$407)-Z39,2))</x:f>
        <x:v>73650.68</x:v>
      </x:c>
      <x:c r="AB39" s="77"/>
      <x:c r="AC39" s="36" t="str">
        <x:f>IF(A39="","",IF(O39&gt;0,"Vencido: saldo da fatura + mora",IF(O39&lt;=0,"Vincendo: VP da parcela financeira; comissão/proteção futuras isentas","")))</x:f>
        <x:v>Vincendo: VP da parcela financeira; comissão/proteção futuras isentas</x:v>
      </x:c>
    </x:row>
    <x:row r="40">
      <x:c r="A40" s="129" t="n">
        <x:f>IF(ROW()-7&lt;=Contrato!$C$16,ROW()-7,"")</x:f>
        <x:v>33</x:v>
      </x:c>
      <x:c r="B40" s="129" t="n">
        <x:f>IF(A40="","",Contrato!$C$16)</x:f>
        <x:v>209</x:v>
      </x:c>
      <x:c r="C40" s="130" t="n">
        <x:f>IF(A40="","",IF(AB40&lt;&gt;"",AB40,IF(Contrato!$C$14="Mensal",EDATE(Contrato!$C$13,A40-1),Contrato!$C$13+(A40-1)*IF(Contrato!$C$14="Quinzenal",14,IF(Contrato!$C$14="Semanal",7,1)))))</x:f>
        <x:v>46493</x:v>
      </x:c>
      <x:c r="D40" s="131" t="n">
        <x:f>IF(A40="","",W39)</x:f>
        <x:v>10067.86</x:v>
      </x:c>
      <x:c r="E40" s="131" t="n">
        <x:f>IF(A40="","",ROUND(D40*Simulador!$I$18,2))</x:f>
        <x:v>39.68</x:v>
      </x:c>
      <x:c r="F40" s="131" t="n">
        <x:f>IF(A40="","",ROUND(MIN(D40,MAX(G40-E40,0)),2))</x:f>
        <x:v>39.44</x:v>
      </x:c>
      <x:c r="G40" s="131" t="n">
        <x:f>IF(A40="","",IF(A40&lt;Contrato!$C$16,Contrato!$C$27,Contrato!$C$28))</x:f>
        <x:v>79.12</x:v>
      </x:c>
      <x:c r="H40" s="131" t="n">
        <x:f>IF(A40="","",Contrato!$C$29)</x:f>
        <x:v>199.99</x:v>
      </x:c>
      <x:c r="I40" s="131" t="n">
        <x:f>IF(A40="","",Contrato!$C$30)</x:f>
        <x:v>187.5</x:v>
      </x:c>
      <x:c r="J40" s="131" t="n">
        <x:f>IF(A40="","",Contrato!$C$31)</x:f>
        <x:v>0</x:v>
      </x:c>
      <x:c r="K40" s="131" t="n">
        <x:f>IF(A40="","",ROUND(SUM(G40:J40),2))</x:f>
        <x:v>466.61</x:v>
      </x:c>
      <x:c r="L40" s="80"/>
      <x:c r="M40" s="77"/>
      <x:c r="N40" s="29" t="str">
        <x:f>IF(A40="","",IF(L40&gt;=K40,"Paga",IF(L40&gt;0,"Paga parcialmente",IF(C40&lt;$A$5,"Vencida","Prevista"))))</x:f>
        <x:v>Prevista</x:v>
      </x:c>
      <x:c r="O40" s="29" t="n">
        <x:f>IF(A40="","",$A$5-C40)</x:f>
        <x:v>-233</x:v>
      </x:c>
      <x:c r="P40" s="131" t="n">
        <x:f>IF(A40="","",IF(AND(O40&gt;0,MAX(K40-L40,0)&gt;0,N40&lt;&gt;"Paga"),ROUND(MAX(K40-L40,0)*'Parâmetros'!$B$34,2),0))</x:f>
        <x:v>0</x:v>
      </x:c>
      <x:c r="Q40" s="131" t="n">
        <x:f>IF(A40="","",IF(AND(O40&gt;0,MAX(K40-L40,0)&gt;0,N40&lt;&gt;"Paga"),ROUND(MAX(K40-L40,0)*'Parâmetros'!$B$35*(O40/'Parâmetros'!$B$33),2),0))</x:f>
        <x:v>0</x:v>
      </x:c>
      <x:c r="R40" s="131" t="n">
        <x:f>IF(A40="","",IF(O40&gt;0,ROUND(MAX(K40-L40,0)+P40+Q40,2),0))</x:f>
        <x:v>0</x:v>
      </x:c>
      <x:c r="S40" s="131" t="n">
        <x:f>IF(A40="","",IF(OR(N40="Paga",O40&gt;0),0,ROUND(IF(K40=0,0,G40*MAX(K40-L40,0)/K40)/(1+'Parâmetros'!$C$13)^((C40-$A$5)/30),2)))</x:f>
        <x:v>70.48</x:v>
      </x:c>
      <x:c r="T40" s="131" t="n">
        <x:f>IF(A40="","",0)</x:f>
        <x:v>0</x:v>
      </x:c>
      <x:c r="U40" s="131" t="n">
        <x:f>IF(A40="","",0)</x:f>
        <x:v>0</x:v>
      </x:c>
      <x:c r="V40" s="131" t="n">
        <x:f>IF(A40="","",IF(N40="Paga",0,IF(O40&gt;0,R40,S40)))</x:f>
        <x:v>70.48</x:v>
      </x:c>
      <x:c r="W40" s="131" t="n">
        <x:f>IF(A40="","",ROUND(MAX(D40-F40,0),2))</x:f>
        <x:v>10028.42</x:v>
      </x:c>
      <x:c r="X40" s="131" t="n">
        <x:f>IF(A40="","",ROUND(SUM($G40:$G$407),2))</x:f>
        <x:v>14003.04</x:v>
      </x:c>
      <x:c r="Y40" s="131" t="n">
        <x:f>IF(A40="","",ROUND(MAX(X40-D40,0),2))</x:f>
        <x:v>3935.18</x:v>
      </x:c>
      <x:c r="Z40" s="131" t="n">
        <x:f>IF(A40="","",ROUND(SUM($V40:$V$407),2))</x:f>
        <x:v>9333.97</x:v>
      </x:c>
      <x:c r="AA40" s="131" t="n">
        <x:f>IF(A40="","",ROUND(SUM($K40:$K$407)-Z40,2))</x:f>
        <x:v>73254.8</x:v>
      </x:c>
      <x:c r="AB40" s="77"/>
      <x:c r="AC40" s="36" t="str">
        <x:f>IF(A40="","",IF(O40&gt;0,"Vencido: saldo da fatura + mora",IF(O40&lt;=0,"Vincendo: VP da parcela financeira; comissão/proteção futuras isentas","")))</x:f>
        <x:v>Vincendo: VP da parcela financeira; comissão/proteção futuras isentas</x:v>
      </x:c>
    </x:row>
    <x:row r="41">
      <x:c r="A41" s="129" t="n">
        <x:f>IF(ROW()-7&lt;=Contrato!$C$16,ROW()-7,"")</x:f>
        <x:v>34</x:v>
      </x:c>
      <x:c r="B41" s="129" t="n">
        <x:f>IF(A41="","",Contrato!$C$16)</x:f>
        <x:v>209</x:v>
      </x:c>
      <x:c r="C41" s="130" t="n">
        <x:f>IF(A41="","",IF(AB41&lt;&gt;"",AB41,IF(Contrato!$C$14="Mensal",EDATE(Contrato!$C$13,A41-1),Contrato!$C$13+(A41-1)*IF(Contrato!$C$14="Quinzenal",14,IF(Contrato!$C$14="Semanal",7,1)))))</x:f>
        <x:v>46500</x:v>
      </x:c>
      <x:c r="D41" s="131" t="n">
        <x:f>IF(A41="","",W40)</x:f>
        <x:v>10028.42</x:v>
      </x:c>
      <x:c r="E41" s="131" t="n">
        <x:f>IF(A41="","",ROUND(D41*Simulador!$I$18,2))</x:f>
        <x:v>39.52</x:v>
      </x:c>
      <x:c r="F41" s="131" t="n">
        <x:f>IF(A41="","",ROUND(MIN(D41,MAX(G41-E41,0)),2))</x:f>
        <x:v>39.6</x:v>
      </x:c>
      <x:c r="G41" s="131" t="n">
        <x:f>IF(A41="","",IF(A41&lt;Contrato!$C$16,Contrato!$C$27,Contrato!$C$28))</x:f>
        <x:v>79.12</x:v>
      </x:c>
      <x:c r="H41" s="131" t="n">
        <x:f>IF(A41="","",Contrato!$C$29)</x:f>
        <x:v>199.99</x:v>
      </x:c>
      <x:c r="I41" s="131" t="n">
        <x:f>IF(A41="","",Contrato!$C$30)</x:f>
        <x:v>187.5</x:v>
      </x:c>
      <x:c r="J41" s="131" t="n">
        <x:f>IF(A41="","",Contrato!$C$31)</x:f>
        <x:v>0</x:v>
      </x:c>
      <x:c r="K41" s="131" t="n">
        <x:f>IF(A41="","",ROUND(SUM(G41:J41),2))</x:f>
        <x:v>466.61</x:v>
      </x:c>
      <x:c r="L41" s="80"/>
      <x:c r="M41" s="77"/>
      <x:c r="N41" s="29" t="str">
        <x:f>IF(A41="","",IF(L41&gt;=K41,"Paga",IF(L41&gt;0,"Paga parcialmente",IF(C41&lt;$A$5,"Vencida","Prevista"))))</x:f>
        <x:v>Prevista</x:v>
      </x:c>
      <x:c r="O41" s="29" t="n">
        <x:f>IF(A41="","",$A$5-C41)</x:f>
        <x:v>-240</x:v>
      </x:c>
      <x:c r="P41" s="131" t="n">
        <x:f>IF(A41="","",IF(AND(O41&gt;0,MAX(K41-L41,0)&gt;0,N41&lt;&gt;"Paga"),ROUND(MAX(K41-L41,0)*'Parâmetros'!$B$34,2),0))</x:f>
        <x:v>0</x:v>
      </x:c>
      <x:c r="Q41" s="131" t="n">
        <x:f>IF(A41="","",IF(AND(O41&gt;0,MAX(K41-L41,0)&gt;0,N41&lt;&gt;"Paga"),ROUND(MAX(K41-L41,0)*'Parâmetros'!$B$35*(O41/'Parâmetros'!$B$33),2),0))</x:f>
        <x:v>0</x:v>
      </x:c>
      <x:c r="R41" s="131" t="n">
        <x:f>IF(A41="","",IF(O41&gt;0,ROUND(MAX(K41-L41,0)+P41+Q41,2),0))</x:f>
        <x:v>0</x:v>
      </x:c>
      <x:c r="S41" s="131" t="n">
        <x:f>IF(A41="","",IF(OR(N41="Paga",O41&gt;0),0,ROUND(IF(K41=0,0,G41*MAX(K41-L41,0)/K41)/(1+'Parâmetros'!$C$13)^((C41-$A$5)/30),2)))</x:f>
        <x:v>70.24</x:v>
      </x:c>
      <x:c r="T41" s="131" t="n">
        <x:f>IF(A41="","",0)</x:f>
        <x:v>0</x:v>
      </x:c>
      <x:c r="U41" s="131" t="n">
        <x:f>IF(A41="","",0)</x:f>
        <x:v>0</x:v>
      </x:c>
      <x:c r="V41" s="131" t="n">
        <x:f>IF(A41="","",IF(N41="Paga",0,IF(O41&gt;0,R41,S41)))</x:f>
        <x:v>70.24</x:v>
      </x:c>
      <x:c r="W41" s="131" t="n">
        <x:f>IF(A41="","",ROUND(MAX(D41-F41,0),2))</x:f>
        <x:v>9988.82</x:v>
      </x:c>
      <x:c r="X41" s="131" t="n">
        <x:f>IF(A41="","",ROUND(SUM($G41:$G$407),2))</x:f>
        <x:v>13923.92</x:v>
      </x:c>
      <x:c r="Y41" s="131" t="n">
        <x:f>IF(A41="","",ROUND(MAX(X41-D41,0),2))</x:f>
        <x:v>3895.5</x:v>
      </x:c>
      <x:c r="Z41" s="131" t="n">
        <x:f>IF(A41="","",ROUND(SUM($V41:$V$407),2))</x:f>
        <x:v>9263.49</x:v>
      </x:c>
      <x:c r="AA41" s="131" t="n">
        <x:f>IF(A41="","",ROUND(SUM($K41:$K$407)-Z41,2))</x:f>
        <x:v>72858.67</x:v>
      </x:c>
      <x:c r="AB41" s="77"/>
      <x:c r="AC41" s="36" t="str">
        <x:f>IF(A41="","",IF(O41&gt;0,"Vencido: saldo da fatura + mora",IF(O41&lt;=0,"Vincendo: VP da parcela financeira; comissão/proteção futuras isentas","")))</x:f>
        <x:v>Vincendo: VP da parcela financeira; comissão/proteção futuras isentas</x:v>
      </x:c>
    </x:row>
    <x:row r="42">
      <x:c r="A42" s="129" t="n">
        <x:f>IF(ROW()-7&lt;=Contrato!$C$16,ROW()-7,"")</x:f>
        <x:v>35</x:v>
      </x:c>
      <x:c r="B42" s="129" t="n">
        <x:f>IF(A42="","",Contrato!$C$16)</x:f>
        <x:v>209</x:v>
      </x:c>
      <x:c r="C42" s="130" t="n">
        <x:f>IF(A42="","",IF(AB42&lt;&gt;"",AB42,IF(Contrato!$C$14="Mensal",EDATE(Contrato!$C$13,A42-1),Contrato!$C$13+(A42-1)*IF(Contrato!$C$14="Quinzenal",14,IF(Contrato!$C$14="Semanal",7,1)))))</x:f>
        <x:v>46507</x:v>
      </x:c>
      <x:c r="D42" s="131" t="n">
        <x:f>IF(A42="","",W41)</x:f>
        <x:v>9988.82</x:v>
      </x:c>
      <x:c r="E42" s="131" t="n">
        <x:f>IF(A42="","",ROUND(D42*Simulador!$I$18,2))</x:f>
        <x:v>39.37</x:v>
      </x:c>
      <x:c r="F42" s="131" t="n">
        <x:f>IF(A42="","",ROUND(MIN(D42,MAX(G42-E42,0)),2))</x:f>
        <x:v>39.75</x:v>
      </x:c>
      <x:c r="G42" s="131" t="n">
        <x:f>IF(A42="","",IF(A42&lt;Contrato!$C$16,Contrato!$C$27,Contrato!$C$28))</x:f>
        <x:v>79.12</x:v>
      </x:c>
      <x:c r="H42" s="131" t="n">
        <x:f>IF(A42="","",Contrato!$C$29)</x:f>
        <x:v>199.99</x:v>
      </x:c>
      <x:c r="I42" s="131" t="n">
        <x:f>IF(A42="","",Contrato!$C$30)</x:f>
        <x:v>187.5</x:v>
      </x:c>
      <x:c r="J42" s="131" t="n">
        <x:f>IF(A42="","",Contrato!$C$31)</x:f>
        <x:v>0</x:v>
      </x:c>
      <x:c r="K42" s="131" t="n">
        <x:f>IF(A42="","",ROUND(SUM(G42:J42),2))</x:f>
        <x:v>466.61</x:v>
      </x:c>
      <x:c r="L42" s="80"/>
      <x:c r="M42" s="77"/>
      <x:c r="N42" s="29" t="str">
        <x:f>IF(A42="","",IF(L42&gt;=K42,"Paga",IF(L42&gt;0,"Paga parcialmente",IF(C42&lt;$A$5,"Vencida","Prevista"))))</x:f>
        <x:v>Prevista</x:v>
      </x:c>
      <x:c r="O42" s="29" t="n">
        <x:f>IF(A42="","",$A$5-C42)</x:f>
        <x:v>-247</x:v>
      </x:c>
      <x:c r="P42" s="131" t="n">
        <x:f>IF(A42="","",IF(AND(O42&gt;0,MAX(K42-L42,0)&gt;0,N42&lt;&gt;"Paga"),ROUND(MAX(K42-L42,0)*'Parâmetros'!$B$34,2),0))</x:f>
        <x:v>0</x:v>
      </x:c>
      <x:c r="Q42" s="131" t="n">
        <x:f>IF(A42="","",IF(AND(O42&gt;0,MAX(K42-L42,0)&gt;0,N42&lt;&gt;"Paga"),ROUND(MAX(K42-L42,0)*'Parâmetros'!$B$35*(O42/'Parâmetros'!$B$33),2),0))</x:f>
        <x:v>0</x:v>
      </x:c>
      <x:c r="R42" s="131" t="n">
        <x:f>IF(A42="","",IF(O42&gt;0,ROUND(MAX(K42-L42,0)+P42+Q42,2),0))</x:f>
        <x:v>0</x:v>
      </x:c>
      <x:c r="S42" s="131" t="n">
        <x:f>IF(A42="","",IF(OR(N42="Paga",O42&gt;0),0,ROUND(IF(K42=0,0,G42*MAX(K42-L42,0)/K42)/(1+'Parâmetros'!$C$13)^((C42-$A$5)/30),2)))</x:f>
        <x:v>69.99</x:v>
      </x:c>
      <x:c r="T42" s="131" t="n">
        <x:f>IF(A42="","",0)</x:f>
        <x:v>0</x:v>
      </x:c>
      <x:c r="U42" s="131" t="n">
        <x:f>IF(A42="","",0)</x:f>
        <x:v>0</x:v>
      </x:c>
      <x:c r="V42" s="131" t="n">
        <x:f>IF(A42="","",IF(N42="Paga",0,IF(O42&gt;0,R42,S42)))</x:f>
        <x:v>69.99</x:v>
      </x:c>
      <x:c r="W42" s="131" t="n">
        <x:f>IF(A42="","",ROUND(MAX(D42-F42,0),2))</x:f>
        <x:v>9949.07</x:v>
      </x:c>
      <x:c r="X42" s="131" t="n">
        <x:f>IF(A42="","",ROUND(SUM($G42:$G$407),2))</x:f>
        <x:v>13844.8</x:v>
      </x:c>
      <x:c r="Y42" s="131" t="n">
        <x:f>IF(A42="","",ROUND(MAX(X42-D42,0),2))</x:f>
        <x:v>3855.98</x:v>
      </x:c>
      <x:c r="Z42" s="131" t="n">
        <x:f>IF(A42="","",ROUND(SUM($V42:$V$407),2))</x:f>
        <x:v>9193.25</x:v>
      </x:c>
      <x:c r="AA42" s="131" t="n">
        <x:f>IF(A42="","",ROUND(SUM($K42:$K$407)-Z42,2))</x:f>
        <x:v>72462.3</x:v>
      </x:c>
      <x:c r="AB42" s="77"/>
      <x:c r="AC42" s="36" t="str">
        <x:f>IF(A42="","",IF(O42&gt;0,"Vencido: saldo da fatura + mora",IF(O42&lt;=0,"Vincendo: VP da parcela financeira; comissão/proteção futuras isentas","")))</x:f>
        <x:v>Vincendo: VP da parcela financeira; comissão/proteção futuras isentas</x:v>
      </x:c>
    </x:row>
    <x:row r="43">
      <x:c r="A43" s="129" t="n">
        <x:f>IF(ROW()-7&lt;=Contrato!$C$16,ROW()-7,"")</x:f>
        <x:v>36</x:v>
      </x:c>
      <x:c r="B43" s="129" t="n">
        <x:f>IF(A43="","",Contrato!$C$16)</x:f>
        <x:v>209</x:v>
      </x:c>
      <x:c r="C43" s="130" t="n">
        <x:f>IF(A43="","",IF(AB43&lt;&gt;"",AB43,IF(Contrato!$C$14="Mensal",EDATE(Contrato!$C$13,A43-1),Contrato!$C$13+(A43-1)*IF(Contrato!$C$14="Quinzenal",14,IF(Contrato!$C$14="Semanal",7,1)))))</x:f>
        <x:v>46514</x:v>
      </x:c>
      <x:c r="D43" s="131" t="n">
        <x:f>IF(A43="","",W42)</x:f>
        <x:v>9949.07</x:v>
      </x:c>
      <x:c r="E43" s="131" t="n">
        <x:f>IF(A43="","",ROUND(D43*Simulador!$I$18,2))</x:f>
        <x:v>39.21</x:v>
      </x:c>
      <x:c r="F43" s="131" t="n">
        <x:f>IF(A43="","",ROUND(MIN(D43,MAX(G43-E43,0)),2))</x:f>
        <x:v>39.91</x:v>
      </x:c>
      <x:c r="G43" s="131" t="n">
        <x:f>IF(A43="","",IF(A43&lt;Contrato!$C$16,Contrato!$C$27,Contrato!$C$28))</x:f>
        <x:v>79.12</x:v>
      </x:c>
      <x:c r="H43" s="131" t="n">
        <x:f>IF(A43="","",Contrato!$C$29)</x:f>
        <x:v>199.99</x:v>
      </x:c>
      <x:c r="I43" s="131" t="n">
        <x:f>IF(A43="","",Contrato!$C$30)</x:f>
        <x:v>187.5</x:v>
      </x:c>
      <x:c r="J43" s="131" t="n">
        <x:f>IF(A43="","",Contrato!$C$31)</x:f>
        <x:v>0</x:v>
      </x:c>
      <x:c r="K43" s="131" t="n">
        <x:f>IF(A43="","",ROUND(SUM(G43:J43),2))</x:f>
        <x:v>466.61</x:v>
      </x:c>
      <x:c r="L43" s="80"/>
      <x:c r="M43" s="77"/>
      <x:c r="N43" s="29" t="str">
        <x:f>IF(A43="","",IF(L43&gt;=K43,"Paga",IF(L43&gt;0,"Paga parcialmente",IF(C43&lt;$A$5,"Vencida","Prevista"))))</x:f>
        <x:v>Prevista</x:v>
      </x:c>
      <x:c r="O43" s="29" t="n">
        <x:f>IF(A43="","",$A$5-C43)</x:f>
        <x:v>-254</x:v>
      </x:c>
      <x:c r="P43" s="131" t="n">
        <x:f>IF(A43="","",IF(AND(O43&gt;0,MAX(K43-L43,0)&gt;0,N43&lt;&gt;"Paga"),ROUND(MAX(K43-L43,0)*'Parâmetros'!$B$34,2),0))</x:f>
        <x:v>0</x:v>
      </x:c>
      <x:c r="Q43" s="131" t="n">
        <x:f>IF(A43="","",IF(AND(O43&gt;0,MAX(K43-L43,0)&gt;0,N43&lt;&gt;"Paga"),ROUND(MAX(K43-L43,0)*'Parâmetros'!$B$35*(O43/'Parâmetros'!$B$33),2),0))</x:f>
        <x:v>0</x:v>
      </x:c>
      <x:c r="R43" s="131" t="n">
        <x:f>IF(A43="","",IF(O43&gt;0,ROUND(MAX(K43-L43,0)+P43+Q43,2),0))</x:f>
        <x:v>0</x:v>
      </x:c>
      <x:c r="S43" s="131" t="n">
        <x:f>IF(A43="","",IF(OR(N43="Paga",O43&gt;0),0,ROUND(IF(K43=0,0,G43*MAX(K43-L43,0)/K43)/(1+'Parâmetros'!$C$13)^((C43-$A$5)/30),2)))</x:f>
        <x:v>69.75</x:v>
      </x:c>
      <x:c r="T43" s="131" t="n">
        <x:f>IF(A43="","",0)</x:f>
        <x:v>0</x:v>
      </x:c>
      <x:c r="U43" s="131" t="n">
        <x:f>IF(A43="","",0)</x:f>
        <x:v>0</x:v>
      </x:c>
      <x:c r="V43" s="131" t="n">
        <x:f>IF(A43="","",IF(N43="Paga",0,IF(O43&gt;0,R43,S43)))</x:f>
        <x:v>69.75</x:v>
      </x:c>
      <x:c r="W43" s="131" t="n">
        <x:f>IF(A43="","",ROUND(MAX(D43-F43,0),2))</x:f>
        <x:v>9909.16</x:v>
      </x:c>
      <x:c r="X43" s="131" t="n">
        <x:f>IF(A43="","",ROUND(SUM($G43:$G$407),2))</x:f>
        <x:v>13765.68</x:v>
      </x:c>
      <x:c r="Y43" s="131" t="n">
        <x:f>IF(A43="","",ROUND(MAX(X43-D43,0),2))</x:f>
        <x:v>3816.61</x:v>
      </x:c>
      <x:c r="Z43" s="131" t="n">
        <x:f>IF(A43="","",ROUND(SUM($V43:$V$407),2))</x:f>
        <x:v>9123.26</x:v>
      </x:c>
      <x:c r="AA43" s="131" t="n">
        <x:f>IF(A43="","",ROUND(SUM($K43:$K$407)-Z43,2))</x:f>
        <x:v>72065.68</x:v>
      </x:c>
      <x:c r="AB43" s="77"/>
      <x:c r="AC43" s="36" t="str">
        <x:f>IF(A43="","",IF(O43&gt;0,"Vencido: saldo da fatura + mora",IF(O43&lt;=0,"Vincendo: VP da parcela financeira; comissão/proteção futuras isentas","")))</x:f>
        <x:v>Vincendo: VP da parcela financeira; comissão/proteção futuras isentas</x:v>
      </x:c>
    </x:row>
    <x:row r="44">
      <x:c r="A44" s="129" t="n">
        <x:f>IF(ROW()-7&lt;=Contrato!$C$16,ROW()-7,"")</x:f>
        <x:v>37</x:v>
      </x:c>
      <x:c r="B44" s="129" t="n">
        <x:f>IF(A44="","",Contrato!$C$16)</x:f>
        <x:v>209</x:v>
      </x:c>
      <x:c r="C44" s="130" t="n">
        <x:f>IF(A44="","",IF(AB44&lt;&gt;"",AB44,IF(Contrato!$C$14="Mensal",EDATE(Contrato!$C$13,A44-1),Contrato!$C$13+(A44-1)*IF(Contrato!$C$14="Quinzenal",14,IF(Contrato!$C$14="Semanal",7,1)))))</x:f>
        <x:v>46521</x:v>
      </x:c>
      <x:c r="D44" s="131" t="n">
        <x:f>IF(A44="","",W43)</x:f>
        <x:v>9909.16</x:v>
      </x:c>
      <x:c r="E44" s="131" t="n">
        <x:f>IF(A44="","",ROUND(D44*Simulador!$I$18,2))</x:f>
        <x:v>39.05</x:v>
      </x:c>
      <x:c r="F44" s="131" t="n">
        <x:f>IF(A44="","",ROUND(MIN(D44,MAX(G44-E44,0)),2))</x:f>
        <x:v>40.07</x:v>
      </x:c>
      <x:c r="G44" s="131" t="n">
        <x:f>IF(A44="","",IF(A44&lt;Contrato!$C$16,Contrato!$C$27,Contrato!$C$28))</x:f>
        <x:v>79.12</x:v>
      </x:c>
      <x:c r="H44" s="131" t="n">
        <x:f>IF(A44="","",Contrato!$C$29)</x:f>
        <x:v>199.99</x:v>
      </x:c>
      <x:c r="I44" s="131" t="n">
        <x:f>IF(A44="","",Contrato!$C$30)</x:f>
        <x:v>187.5</x:v>
      </x:c>
      <x:c r="J44" s="131" t="n">
        <x:f>IF(A44="","",Contrato!$C$31)</x:f>
        <x:v>0</x:v>
      </x:c>
      <x:c r="K44" s="131" t="n">
        <x:f>IF(A44="","",ROUND(SUM(G44:J44),2))</x:f>
        <x:v>466.61</x:v>
      </x:c>
      <x:c r="L44" s="80"/>
      <x:c r="M44" s="77"/>
      <x:c r="N44" s="29" t="str">
        <x:f>IF(A44="","",IF(L44&gt;=K44,"Paga",IF(L44&gt;0,"Paga parcialmente",IF(C44&lt;$A$5,"Vencida","Prevista"))))</x:f>
        <x:v>Prevista</x:v>
      </x:c>
      <x:c r="O44" s="29" t="n">
        <x:f>IF(A44="","",$A$5-C44)</x:f>
        <x:v>-261</x:v>
      </x:c>
      <x:c r="P44" s="131" t="n">
        <x:f>IF(A44="","",IF(AND(O44&gt;0,MAX(K44-L44,0)&gt;0,N44&lt;&gt;"Paga"),ROUND(MAX(K44-L44,0)*'Parâmetros'!$B$34,2),0))</x:f>
        <x:v>0</x:v>
      </x:c>
      <x:c r="Q44" s="131" t="n">
        <x:f>IF(A44="","",IF(AND(O44&gt;0,MAX(K44-L44,0)&gt;0,N44&lt;&gt;"Paga"),ROUND(MAX(K44-L44,0)*'Parâmetros'!$B$35*(O44/'Parâmetros'!$B$33),2),0))</x:f>
        <x:v>0</x:v>
      </x:c>
      <x:c r="R44" s="131" t="n">
        <x:f>IF(A44="","",IF(O44&gt;0,ROUND(MAX(K44-L44,0)+P44+Q44,2),0))</x:f>
        <x:v>0</x:v>
      </x:c>
      <x:c r="S44" s="131" t="n">
        <x:f>IF(A44="","",IF(OR(N44="Paga",O44&gt;0),0,ROUND(IF(K44=0,0,G44*MAX(K44-L44,0)/K44)/(1+'Parâmetros'!$C$13)^((C44-$A$5)/30),2)))</x:f>
        <x:v>69.51</x:v>
      </x:c>
      <x:c r="T44" s="131" t="n">
        <x:f>IF(A44="","",0)</x:f>
        <x:v>0</x:v>
      </x:c>
      <x:c r="U44" s="131" t="n">
        <x:f>IF(A44="","",0)</x:f>
        <x:v>0</x:v>
      </x:c>
      <x:c r="V44" s="131" t="n">
        <x:f>IF(A44="","",IF(N44="Paga",0,IF(O44&gt;0,R44,S44)))</x:f>
        <x:v>69.51</x:v>
      </x:c>
      <x:c r="W44" s="131" t="n">
        <x:f>IF(A44="","",ROUND(MAX(D44-F44,0),2))</x:f>
        <x:v>9869.09</x:v>
      </x:c>
      <x:c r="X44" s="131" t="n">
        <x:f>IF(A44="","",ROUND(SUM($G44:$G$407),2))</x:f>
        <x:v>13686.56</x:v>
      </x:c>
      <x:c r="Y44" s="131" t="n">
        <x:f>IF(A44="","",ROUND(MAX(X44-D44,0),2))</x:f>
        <x:v>3777.4</x:v>
      </x:c>
      <x:c r="Z44" s="131" t="n">
        <x:f>IF(A44="","",ROUND(SUM($V44:$V$407),2))</x:f>
        <x:v>9053.51</x:v>
      </x:c>
      <x:c r="AA44" s="131" t="n">
        <x:f>IF(A44="","",ROUND(SUM($K44:$K$407)-Z44,2))</x:f>
        <x:v>71668.82</x:v>
      </x:c>
      <x:c r="AB44" s="77"/>
      <x:c r="AC44" s="36" t="str">
        <x:f>IF(A44="","",IF(O44&gt;0,"Vencido: saldo da fatura + mora",IF(O44&lt;=0,"Vincendo: VP da parcela financeira; comissão/proteção futuras isentas","")))</x:f>
        <x:v>Vincendo: VP da parcela financeira; comissão/proteção futuras isentas</x:v>
      </x:c>
    </x:row>
    <x:row r="45">
      <x:c r="A45" s="129" t="n">
        <x:f>IF(ROW()-7&lt;=Contrato!$C$16,ROW()-7,"")</x:f>
        <x:v>38</x:v>
      </x:c>
      <x:c r="B45" s="129" t="n">
        <x:f>IF(A45="","",Contrato!$C$16)</x:f>
        <x:v>209</x:v>
      </x:c>
      <x:c r="C45" s="130" t="n">
        <x:f>IF(A45="","",IF(AB45&lt;&gt;"",AB45,IF(Contrato!$C$14="Mensal",EDATE(Contrato!$C$13,A45-1),Contrato!$C$13+(A45-1)*IF(Contrato!$C$14="Quinzenal",14,IF(Contrato!$C$14="Semanal",7,1)))))</x:f>
        <x:v>46528</x:v>
      </x:c>
      <x:c r="D45" s="131" t="n">
        <x:f>IF(A45="","",W44)</x:f>
        <x:v>9869.09</x:v>
      </x:c>
      <x:c r="E45" s="131" t="n">
        <x:f>IF(A45="","",ROUND(D45*Simulador!$I$18,2))</x:f>
        <x:v>38.89</x:v>
      </x:c>
      <x:c r="F45" s="131" t="n">
        <x:f>IF(A45="","",ROUND(MIN(D45,MAX(G45-E45,0)),2))</x:f>
        <x:v>40.23</x:v>
      </x:c>
      <x:c r="G45" s="131" t="n">
        <x:f>IF(A45="","",IF(A45&lt;Contrato!$C$16,Contrato!$C$27,Contrato!$C$28))</x:f>
        <x:v>79.12</x:v>
      </x:c>
      <x:c r="H45" s="131" t="n">
        <x:f>IF(A45="","",Contrato!$C$29)</x:f>
        <x:v>199.99</x:v>
      </x:c>
      <x:c r="I45" s="131" t="n">
        <x:f>IF(A45="","",Contrato!$C$30)</x:f>
        <x:v>187.5</x:v>
      </x:c>
      <x:c r="J45" s="131" t="n">
        <x:f>IF(A45="","",Contrato!$C$31)</x:f>
        <x:v>0</x:v>
      </x:c>
      <x:c r="K45" s="131" t="n">
        <x:f>IF(A45="","",ROUND(SUM(G45:J45),2))</x:f>
        <x:v>466.61</x:v>
      </x:c>
      <x:c r="L45" s="80"/>
      <x:c r="M45" s="77"/>
      <x:c r="N45" s="29" t="str">
        <x:f>IF(A45="","",IF(L45&gt;=K45,"Paga",IF(L45&gt;0,"Paga parcialmente",IF(C45&lt;$A$5,"Vencida","Prevista"))))</x:f>
        <x:v>Prevista</x:v>
      </x:c>
      <x:c r="O45" s="29" t="n">
        <x:f>IF(A45="","",$A$5-C45)</x:f>
        <x:v>-268</x:v>
      </x:c>
      <x:c r="P45" s="131" t="n">
        <x:f>IF(A45="","",IF(AND(O45&gt;0,MAX(K45-L45,0)&gt;0,N45&lt;&gt;"Paga"),ROUND(MAX(K45-L45,0)*'Parâmetros'!$B$34,2),0))</x:f>
        <x:v>0</x:v>
      </x:c>
      <x:c r="Q45" s="131" t="n">
        <x:f>IF(A45="","",IF(AND(O45&gt;0,MAX(K45-L45,0)&gt;0,N45&lt;&gt;"Paga"),ROUND(MAX(K45-L45,0)*'Parâmetros'!$B$35*(O45/'Parâmetros'!$B$33),2),0))</x:f>
        <x:v>0</x:v>
      </x:c>
      <x:c r="R45" s="131" t="n">
        <x:f>IF(A45="","",IF(O45&gt;0,ROUND(MAX(K45-L45,0)+P45+Q45,2),0))</x:f>
        <x:v>0</x:v>
      </x:c>
      <x:c r="S45" s="131" t="n">
        <x:f>IF(A45="","",IF(OR(N45="Paga",O45&gt;0),0,ROUND(IF(K45=0,0,G45*MAX(K45-L45,0)/K45)/(1+'Parâmetros'!$C$13)^((C45-$A$5)/30),2)))</x:f>
        <x:v>69.27</x:v>
      </x:c>
      <x:c r="T45" s="131" t="n">
        <x:f>IF(A45="","",0)</x:f>
        <x:v>0</x:v>
      </x:c>
      <x:c r="U45" s="131" t="n">
        <x:f>IF(A45="","",0)</x:f>
        <x:v>0</x:v>
      </x:c>
      <x:c r="V45" s="131" t="n">
        <x:f>IF(A45="","",IF(N45="Paga",0,IF(O45&gt;0,R45,S45)))</x:f>
        <x:v>69.27</x:v>
      </x:c>
      <x:c r="W45" s="131" t="n">
        <x:f>IF(A45="","",ROUND(MAX(D45-F45,0),2))</x:f>
        <x:v>9828.86</x:v>
      </x:c>
      <x:c r="X45" s="131" t="n">
        <x:f>IF(A45="","",ROUND(SUM($G45:$G$407),2))</x:f>
        <x:v>13607.44</x:v>
      </x:c>
      <x:c r="Y45" s="131" t="n">
        <x:f>IF(A45="","",ROUND(MAX(X45-D45,0),2))</x:f>
        <x:v>3738.35</x:v>
      </x:c>
      <x:c r="Z45" s="131" t="n">
        <x:f>IF(A45="","",ROUND(SUM($V45:$V$407),2))</x:f>
        <x:v>8984</x:v>
      </x:c>
      <x:c r="AA45" s="131" t="n">
        <x:f>IF(A45="","",ROUND(SUM($K45:$K$407)-Z45,2))</x:f>
        <x:v>71271.72</x:v>
      </x:c>
      <x:c r="AB45" s="77"/>
      <x:c r="AC45" s="36" t="str">
        <x:f>IF(A45="","",IF(O45&gt;0,"Vencido: saldo da fatura + mora",IF(O45&lt;=0,"Vincendo: VP da parcela financeira; comissão/proteção futuras isentas","")))</x:f>
        <x:v>Vincendo: VP da parcela financeira; comissão/proteção futuras isentas</x:v>
      </x:c>
    </x:row>
    <x:row r="46">
      <x:c r="A46" s="129" t="n">
        <x:f>IF(ROW()-7&lt;=Contrato!$C$16,ROW()-7,"")</x:f>
        <x:v>39</x:v>
      </x:c>
      <x:c r="B46" s="129" t="n">
        <x:f>IF(A46="","",Contrato!$C$16)</x:f>
        <x:v>209</x:v>
      </x:c>
      <x:c r="C46" s="130" t="n">
        <x:f>IF(A46="","",IF(AB46&lt;&gt;"",AB46,IF(Contrato!$C$14="Mensal",EDATE(Contrato!$C$13,A46-1),Contrato!$C$13+(A46-1)*IF(Contrato!$C$14="Quinzenal",14,IF(Contrato!$C$14="Semanal",7,1)))))</x:f>
        <x:v>46535</x:v>
      </x:c>
      <x:c r="D46" s="131" t="n">
        <x:f>IF(A46="","",W45)</x:f>
        <x:v>9828.86</x:v>
      </x:c>
      <x:c r="E46" s="131" t="n">
        <x:f>IF(A46="","",ROUND(D46*Simulador!$I$18,2))</x:f>
        <x:v>38.74</x:v>
      </x:c>
      <x:c r="F46" s="131" t="n">
        <x:f>IF(A46="","",ROUND(MIN(D46,MAX(G46-E46,0)),2))</x:f>
        <x:v>40.38</x:v>
      </x:c>
      <x:c r="G46" s="131" t="n">
        <x:f>IF(A46="","",IF(A46&lt;Contrato!$C$16,Contrato!$C$27,Contrato!$C$28))</x:f>
        <x:v>79.12</x:v>
      </x:c>
      <x:c r="H46" s="131" t="n">
        <x:f>IF(A46="","",Contrato!$C$29)</x:f>
        <x:v>199.99</x:v>
      </x:c>
      <x:c r="I46" s="131" t="n">
        <x:f>IF(A46="","",Contrato!$C$30)</x:f>
        <x:v>187.5</x:v>
      </x:c>
      <x:c r="J46" s="131" t="n">
        <x:f>IF(A46="","",Contrato!$C$31)</x:f>
        <x:v>0</x:v>
      </x:c>
      <x:c r="K46" s="131" t="n">
        <x:f>IF(A46="","",ROUND(SUM(G46:J46),2))</x:f>
        <x:v>466.61</x:v>
      </x:c>
      <x:c r="L46" s="80"/>
      <x:c r="M46" s="77"/>
      <x:c r="N46" s="29" t="str">
        <x:f>IF(A46="","",IF(L46&gt;=K46,"Paga",IF(L46&gt;0,"Paga parcialmente",IF(C46&lt;$A$5,"Vencida","Prevista"))))</x:f>
        <x:v>Prevista</x:v>
      </x:c>
      <x:c r="O46" s="29" t="n">
        <x:f>IF(A46="","",$A$5-C46)</x:f>
        <x:v>-275</x:v>
      </x:c>
      <x:c r="P46" s="131" t="n">
        <x:f>IF(A46="","",IF(AND(O46&gt;0,MAX(K46-L46,0)&gt;0,N46&lt;&gt;"Paga"),ROUND(MAX(K46-L46,0)*'Parâmetros'!$B$34,2),0))</x:f>
        <x:v>0</x:v>
      </x:c>
      <x:c r="Q46" s="131" t="n">
        <x:f>IF(A46="","",IF(AND(O46&gt;0,MAX(K46-L46,0)&gt;0,N46&lt;&gt;"Paga"),ROUND(MAX(K46-L46,0)*'Parâmetros'!$B$35*(O46/'Parâmetros'!$B$33),2),0))</x:f>
        <x:v>0</x:v>
      </x:c>
      <x:c r="R46" s="131" t="n">
        <x:f>IF(A46="","",IF(O46&gt;0,ROUND(MAX(K46-L46,0)+P46+Q46,2),0))</x:f>
        <x:v>0</x:v>
      </x:c>
      <x:c r="S46" s="131" t="n">
        <x:f>IF(A46="","",IF(OR(N46="Paga",O46&gt;0),0,ROUND(IF(K46=0,0,G46*MAX(K46-L46,0)/K46)/(1+'Parâmetros'!$C$13)^((C46-$A$5)/30),2)))</x:f>
        <x:v>69.03</x:v>
      </x:c>
      <x:c r="T46" s="131" t="n">
        <x:f>IF(A46="","",0)</x:f>
        <x:v>0</x:v>
      </x:c>
      <x:c r="U46" s="131" t="n">
        <x:f>IF(A46="","",0)</x:f>
        <x:v>0</x:v>
      </x:c>
      <x:c r="V46" s="131" t="n">
        <x:f>IF(A46="","",IF(N46="Paga",0,IF(O46&gt;0,R46,S46)))</x:f>
        <x:v>69.03</x:v>
      </x:c>
      <x:c r="W46" s="131" t="n">
        <x:f>IF(A46="","",ROUND(MAX(D46-F46,0),2))</x:f>
        <x:v>9788.48</x:v>
      </x:c>
      <x:c r="X46" s="131" t="n">
        <x:f>IF(A46="","",ROUND(SUM($G46:$G$407),2))</x:f>
        <x:v>13528.32</x:v>
      </x:c>
      <x:c r="Y46" s="131" t="n">
        <x:f>IF(A46="","",ROUND(MAX(X46-D46,0),2))</x:f>
        <x:v>3699.46</x:v>
      </x:c>
      <x:c r="Z46" s="131" t="n">
        <x:f>IF(A46="","",ROUND(SUM($V46:$V$407),2))</x:f>
        <x:v>8914.73</x:v>
      </x:c>
      <x:c r="AA46" s="131" t="n">
        <x:f>IF(A46="","",ROUND(SUM($K46:$K$407)-Z46,2))</x:f>
        <x:v>70874.38</x:v>
      </x:c>
      <x:c r="AB46" s="77"/>
      <x:c r="AC46" s="36" t="str">
        <x:f>IF(A46="","",IF(O46&gt;0,"Vencido: saldo da fatura + mora",IF(O46&lt;=0,"Vincendo: VP da parcela financeira; comissão/proteção futuras isentas","")))</x:f>
        <x:v>Vincendo: VP da parcela financeira; comissão/proteção futuras isentas</x:v>
      </x:c>
    </x:row>
    <x:row r="47">
      <x:c r="A47" s="129" t="n">
        <x:f>IF(ROW()-7&lt;=Contrato!$C$16,ROW()-7,"")</x:f>
        <x:v>40</x:v>
      </x:c>
      <x:c r="B47" s="129" t="n">
        <x:f>IF(A47="","",Contrato!$C$16)</x:f>
        <x:v>209</x:v>
      </x:c>
      <x:c r="C47" s="130" t="n">
        <x:f>IF(A47="","",IF(AB47&lt;&gt;"",AB47,IF(Contrato!$C$14="Mensal",EDATE(Contrato!$C$13,A47-1),Contrato!$C$13+(A47-1)*IF(Contrato!$C$14="Quinzenal",14,IF(Contrato!$C$14="Semanal",7,1)))))</x:f>
        <x:v>46542</x:v>
      </x:c>
      <x:c r="D47" s="131" t="n">
        <x:f>IF(A47="","",W46)</x:f>
        <x:v>9788.48</x:v>
      </x:c>
      <x:c r="E47" s="131" t="n">
        <x:f>IF(A47="","",ROUND(D47*Simulador!$I$18,2))</x:f>
        <x:v>38.58</x:v>
      </x:c>
      <x:c r="F47" s="131" t="n">
        <x:f>IF(A47="","",ROUND(MIN(D47,MAX(G47-E47,0)),2))</x:f>
        <x:v>40.54</x:v>
      </x:c>
      <x:c r="G47" s="131" t="n">
        <x:f>IF(A47="","",IF(A47&lt;Contrato!$C$16,Contrato!$C$27,Contrato!$C$28))</x:f>
        <x:v>79.12</x:v>
      </x:c>
      <x:c r="H47" s="131" t="n">
        <x:f>IF(A47="","",Contrato!$C$29)</x:f>
        <x:v>199.99</x:v>
      </x:c>
      <x:c r="I47" s="131" t="n">
        <x:f>IF(A47="","",Contrato!$C$30)</x:f>
        <x:v>187.5</x:v>
      </x:c>
      <x:c r="J47" s="131" t="n">
        <x:f>IF(A47="","",Contrato!$C$31)</x:f>
        <x:v>0</x:v>
      </x:c>
      <x:c r="K47" s="131" t="n">
        <x:f>IF(A47="","",ROUND(SUM(G47:J47),2))</x:f>
        <x:v>466.61</x:v>
      </x:c>
      <x:c r="L47" s="80"/>
      <x:c r="M47" s="77"/>
      <x:c r="N47" s="29" t="str">
        <x:f>IF(A47="","",IF(L47&gt;=K47,"Paga",IF(L47&gt;0,"Paga parcialmente",IF(C47&lt;$A$5,"Vencida","Prevista"))))</x:f>
        <x:v>Prevista</x:v>
      </x:c>
      <x:c r="O47" s="29" t="n">
        <x:f>IF(A47="","",$A$5-C47)</x:f>
        <x:v>-282</x:v>
      </x:c>
      <x:c r="P47" s="131" t="n">
        <x:f>IF(A47="","",IF(AND(O47&gt;0,MAX(K47-L47,0)&gt;0,N47&lt;&gt;"Paga"),ROUND(MAX(K47-L47,0)*'Parâmetros'!$B$34,2),0))</x:f>
        <x:v>0</x:v>
      </x:c>
      <x:c r="Q47" s="131" t="n">
        <x:f>IF(A47="","",IF(AND(O47&gt;0,MAX(K47-L47,0)&gt;0,N47&lt;&gt;"Paga"),ROUND(MAX(K47-L47,0)*'Parâmetros'!$B$35*(O47/'Parâmetros'!$B$33),2),0))</x:f>
        <x:v>0</x:v>
      </x:c>
      <x:c r="R47" s="131" t="n">
        <x:f>IF(A47="","",IF(O47&gt;0,ROUND(MAX(K47-L47,0)+P47+Q47,2),0))</x:f>
        <x:v>0</x:v>
      </x:c>
      <x:c r="S47" s="131" t="n">
        <x:f>IF(A47="","",IF(OR(N47="Paga",O47&gt;0),0,ROUND(IF(K47=0,0,G47*MAX(K47-L47,0)/K47)/(1+'Parâmetros'!$C$13)^((C47-$A$5)/30),2)))</x:f>
        <x:v>68.79</x:v>
      </x:c>
      <x:c r="T47" s="131" t="n">
        <x:f>IF(A47="","",0)</x:f>
        <x:v>0</x:v>
      </x:c>
      <x:c r="U47" s="131" t="n">
        <x:f>IF(A47="","",0)</x:f>
        <x:v>0</x:v>
      </x:c>
      <x:c r="V47" s="131" t="n">
        <x:f>IF(A47="","",IF(N47="Paga",0,IF(O47&gt;0,R47,S47)))</x:f>
        <x:v>68.79</x:v>
      </x:c>
      <x:c r="W47" s="131" t="n">
        <x:f>IF(A47="","",ROUND(MAX(D47-F47,0),2))</x:f>
        <x:v>9747.94</x:v>
      </x:c>
      <x:c r="X47" s="131" t="n">
        <x:f>IF(A47="","",ROUND(SUM($G47:$G$407),2))</x:f>
        <x:v>13449.2</x:v>
      </x:c>
      <x:c r="Y47" s="131" t="n">
        <x:f>IF(A47="","",ROUND(MAX(X47-D47,0),2))</x:f>
        <x:v>3660.72</x:v>
      </x:c>
      <x:c r="Z47" s="131" t="n">
        <x:f>IF(A47="","",ROUND(SUM($V47:$V$407),2))</x:f>
        <x:v>8845.7</x:v>
      </x:c>
      <x:c r="AA47" s="131" t="n">
        <x:f>IF(A47="","",ROUND(SUM($K47:$K$407)-Z47,2))</x:f>
        <x:v>70476.8</x:v>
      </x:c>
      <x:c r="AB47" s="77"/>
      <x:c r="AC47" s="36" t="str">
        <x:f>IF(A47="","",IF(O47&gt;0,"Vencido: saldo da fatura + mora",IF(O47&lt;=0,"Vincendo: VP da parcela financeira; comissão/proteção futuras isentas","")))</x:f>
        <x:v>Vincendo: VP da parcela financeira; comissão/proteção futuras isentas</x:v>
      </x:c>
    </x:row>
    <x:row r="48">
      <x:c r="A48" s="129" t="n">
        <x:f>IF(ROW()-7&lt;=Contrato!$C$16,ROW()-7,"")</x:f>
        <x:v>41</x:v>
      </x:c>
      <x:c r="B48" s="129" t="n">
        <x:f>IF(A48="","",Contrato!$C$16)</x:f>
        <x:v>209</x:v>
      </x:c>
      <x:c r="C48" s="130" t="n">
        <x:f>IF(A48="","",IF(AB48&lt;&gt;"",AB48,IF(Contrato!$C$14="Mensal",EDATE(Contrato!$C$13,A48-1),Contrato!$C$13+(A48-1)*IF(Contrato!$C$14="Quinzenal",14,IF(Contrato!$C$14="Semanal",7,1)))))</x:f>
        <x:v>46549</x:v>
      </x:c>
      <x:c r="D48" s="131" t="n">
        <x:f>IF(A48="","",W47)</x:f>
        <x:v>9747.94</x:v>
      </x:c>
      <x:c r="E48" s="131" t="n">
        <x:f>IF(A48="","",ROUND(D48*Simulador!$I$18,2))</x:f>
        <x:v>38.42</x:v>
      </x:c>
      <x:c r="F48" s="131" t="n">
        <x:f>IF(A48="","",ROUND(MIN(D48,MAX(G48-E48,0)),2))</x:f>
        <x:v>40.7</x:v>
      </x:c>
      <x:c r="G48" s="131" t="n">
        <x:f>IF(A48="","",IF(A48&lt;Contrato!$C$16,Contrato!$C$27,Contrato!$C$28))</x:f>
        <x:v>79.12</x:v>
      </x:c>
      <x:c r="H48" s="131" t="n">
        <x:f>IF(A48="","",Contrato!$C$29)</x:f>
        <x:v>199.99</x:v>
      </x:c>
      <x:c r="I48" s="131" t="n">
        <x:f>IF(A48="","",Contrato!$C$30)</x:f>
        <x:v>187.5</x:v>
      </x:c>
      <x:c r="J48" s="131" t="n">
        <x:f>IF(A48="","",Contrato!$C$31)</x:f>
        <x:v>0</x:v>
      </x:c>
      <x:c r="K48" s="131" t="n">
        <x:f>IF(A48="","",ROUND(SUM(G48:J48),2))</x:f>
        <x:v>466.61</x:v>
      </x:c>
      <x:c r="L48" s="80"/>
      <x:c r="M48" s="77"/>
      <x:c r="N48" s="29" t="str">
        <x:f>IF(A48="","",IF(L48&gt;=K48,"Paga",IF(L48&gt;0,"Paga parcialmente",IF(C48&lt;$A$5,"Vencida","Prevista"))))</x:f>
        <x:v>Prevista</x:v>
      </x:c>
      <x:c r="O48" s="29" t="n">
        <x:f>IF(A48="","",$A$5-C48)</x:f>
        <x:v>-289</x:v>
      </x:c>
      <x:c r="P48" s="131" t="n">
        <x:f>IF(A48="","",IF(AND(O48&gt;0,MAX(K48-L48,0)&gt;0,N48&lt;&gt;"Paga"),ROUND(MAX(K48-L48,0)*'Parâmetros'!$B$34,2),0))</x:f>
        <x:v>0</x:v>
      </x:c>
      <x:c r="Q48" s="131" t="n">
        <x:f>IF(A48="","",IF(AND(O48&gt;0,MAX(K48-L48,0)&gt;0,N48&lt;&gt;"Paga"),ROUND(MAX(K48-L48,0)*'Parâmetros'!$B$35*(O48/'Parâmetros'!$B$33),2),0))</x:f>
        <x:v>0</x:v>
      </x:c>
      <x:c r="R48" s="131" t="n">
        <x:f>IF(A48="","",IF(O48&gt;0,ROUND(MAX(K48-L48,0)+P48+Q48,2),0))</x:f>
        <x:v>0</x:v>
      </x:c>
      <x:c r="S48" s="131" t="n">
        <x:f>IF(A48="","",IF(OR(N48="Paga",O48&gt;0),0,ROUND(IF(K48=0,0,G48*MAX(K48-L48,0)/K48)/(1+'Parâmetros'!$C$13)^((C48-$A$5)/30),2)))</x:f>
        <x:v>68.55</x:v>
      </x:c>
      <x:c r="T48" s="131" t="n">
        <x:f>IF(A48="","",0)</x:f>
        <x:v>0</x:v>
      </x:c>
      <x:c r="U48" s="131" t="n">
        <x:f>IF(A48="","",0)</x:f>
        <x:v>0</x:v>
      </x:c>
      <x:c r="V48" s="131" t="n">
        <x:f>IF(A48="","",IF(N48="Paga",0,IF(O48&gt;0,R48,S48)))</x:f>
        <x:v>68.55</x:v>
      </x:c>
      <x:c r="W48" s="131" t="n">
        <x:f>IF(A48="","",ROUND(MAX(D48-F48,0),2))</x:f>
        <x:v>9707.24</x:v>
      </x:c>
      <x:c r="X48" s="131" t="n">
        <x:f>IF(A48="","",ROUND(SUM($G48:$G$407),2))</x:f>
        <x:v>13370.08</x:v>
      </x:c>
      <x:c r="Y48" s="131" t="n">
        <x:f>IF(A48="","",ROUND(MAX(X48-D48,0),2))</x:f>
        <x:v>3622.14</x:v>
      </x:c>
      <x:c r="Z48" s="131" t="n">
        <x:f>IF(A48="","",ROUND(SUM($V48:$V$407),2))</x:f>
        <x:v>8776.91</x:v>
      </x:c>
      <x:c r="AA48" s="131" t="n">
        <x:f>IF(A48="","",ROUND(SUM($K48:$K$407)-Z48,2))</x:f>
        <x:v>70078.98</x:v>
      </x:c>
      <x:c r="AB48" s="77"/>
      <x:c r="AC48" s="36" t="str">
        <x:f>IF(A48="","",IF(O48&gt;0,"Vencido: saldo da fatura + mora",IF(O48&lt;=0,"Vincendo: VP da parcela financeira; comissão/proteção futuras isentas","")))</x:f>
        <x:v>Vincendo: VP da parcela financeira; comissão/proteção futuras isentas</x:v>
      </x:c>
    </x:row>
    <x:row r="49">
      <x:c r="A49" s="129" t="n">
        <x:f>IF(ROW()-7&lt;=Contrato!$C$16,ROW()-7,"")</x:f>
        <x:v>42</x:v>
      </x:c>
      <x:c r="B49" s="129" t="n">
        <x:f>IF(A49="","",Contrato!$C$16)</x:f>
        <x:v>209</x:v>
      </x:c>
      <x:c r="C49" s="130" t="n">
        <x:f>IF(A49="","",IF(AB49&lt;&gt;"",AB49,IF(Contrato!$C$14="Mensal",EDATE(Contrato!$C$13,A49-1),Contrato!$C$13+(A49-1)*IF(Contrato!$C$14="Quinzenal",14,IF(Contrato!$C$14="Semanal",7,1)))))</x:f>
        <x:v>46556</x:v>
      </x:c>
      <x:c r="D49" s="131" t="n">
        <x:f>IF(A49="","",W48)</x:f>
        <x:v>9707.24</x:v>
      </x:c>
      <x:c r="E49" s="131" t="n">
        <x:f>IF(A49="","",ROUND(D49*Simulador!$I$18,2))</x:f>
        <x:v>38.26</x:v>
      </x:c>
      <x:c r="F49" s="131" t="n">
        <x:f>IF(A49="","",ROUND(MIN(D49,MAX(G49-E49,0)),2))</x:f>
        <x:v>40.86</x:v>
      </x:c>
      <x:c r="G49" s="131" t="n">
        <x:f>IF(A49="","",IF(A49&lt;Contrato!$C$16,Contrato!$C$27,Contrato!$C$28))</x:f>
        <x:v>79.12</x:v>
      </x:c>
      <x:c r="H49" s="131" t="n">
        <x:f>IF(A49="","",Contrato!$C$29)</x:f>
        <x:v>199.99</x:v>
      </x:c>
      <x:c r="I49" s="131" t="n">
        <x:f>IF(A49="","",Contrato!$C$30)</x:f>
        <x:v>187.5</x:v>
      </x:c>
      <x:c r="J49" s="131" t="n">
        <x:f>IF(A49="","",Contrato!$C$31)</x:f>
        <x:v>0</x:v>
      </x:c>
      <x:c r="K49" s="131" t="n">
        <x:f>IF(A49="","",ROUND(SUM(G49:J49),2))</x:f>
        <x:v>466.61</x:v>
      </x:c>
      <x:c r="L49" s="80"/>
      <x:c r="M49" s="77"/>
      <x:c r="N49" s="29" t="str">
        <x:f>IF(A49="","",IF(L49&gt;=K49,"Paga",IF(L49&gt;0,"Paga parcialmente",IF(C49&lt;$A$5,"Vencida","Prevista"))))</x:f>
        <x:v>Prevista</x:v>
      </x:c>
      <x:c r="O49" s="29" t="n">
        <x:f>IF(A49="","",$A$5-C49)</x:f>
        <x:v>-296</x:v>
      </x:c>
      <x:c r="P49" s="131" t="n">
        <x:f>IF(A49="","",IF(AND(O49&gt;0,MAX(K49-L49,0)&gt;0,N49&lt;&gt;"Paga"),ROUND(MAX(K49-L49,0)*'Parâmetros'!$B$34,2),0))</x:f>
        <x:v>0</x:v>
      </x:c>
      <x:c r="Q49" s="131" t="n">
        <x:f>IF(A49="","",IF(AND(O49&gt;0,MAX(K49-L49,0)&gt;0,N49&lt;&gt;"Paga"),ROUND(MAX(K49-L49,0)*'Parâmetros'!$B$35*(O49/'Parâmetros'!$B$33),2),0))</x:f>
        <x:v>0</x:v>
      </x:c>
      <x:c r="R49" s="131" t="n">
        <x:f>IF(A49="","",IF(O49&gt;0,ROUND(MAX(K49-L49,0)+P49+Q49,2),0))</x:f>
        <x:v>0</x:v>
      </x:c>
      <x:c r="S49" s="131" t="n">
        <x:f>IF(A49="","",IF(OR(N49="Paga",O49&gt;0),0,ROUND(IF(K49=0,0,G49*MAX(K49-L49,0)/K49)/(1+'Parâmetros'!$C$13)^((C49-$A$5)/30),2)))</x:f>
        <x:v>68.31</x:v>
      </x:c>
      <x:c r="T49" s="131" t="n">
        <x:f>IF(A49="","",0)</x:f>
        <x:v>0</x:v>
      </x:c>
      <x:c r="U49" s="131" t="n">
        <x:f>IF(A49="","",0)</x:f>
        <x:v>0</x:v>
      </x:c>
      <x:c r="V49" s="131" t="n">
        <x:f>IF(A49="","",IF(N49="Paga",0,IF(O49&gt;0,R49,S49)))</x:f>
        <x:v>68.31</x:v>
      </x:c>
      <x:c r="W49" s="131" t="n">
        <x:f>IF(A49="","",ROUND(MAX(D49-F49,0),2))</x:f>
        <x:v>9666.38</x:v>
      </x:c>
      <x:c r="X49" s="131" t="n">
        <x:f>IF(A49="","",ROUND(SUM($G49:$G$407),2))</x:f>
        <x:v>13290.96</x:v>
      </x:c>
      <x:c r="Y49" s="131" t="n">
        <x:f>IF(A49="","",ROUND(MAX(X49-D49,0),2))</x:f>
        <x:v>3583.72</x:v>
      </x:c>
      <x:c r="Z49" s="131" t="n">
        <x:f>IF(A49="","",ROUND(SUM($V49:$V$407),2))</x:f>
        <x:v>8708.36</x:v>
      </x:c>
      <x:c r="AA49" s="131" t="n">
        <x:f>IF(A49="","",ROUND(SUM($K49:$K$407)-Z49,2))</x:f>
        <x:v>69680.92</x:v>
      </x:c>
      <x:c r="AB49" s="77"/>
      <x:c r="AC49" s="36" t="str">
        <x:f>IF(A49="","",IF(O49&gt;0,"Vencido: saldo da fatura + mora",IF(O49&lt;=0,"Vincendo: VP da parcela financeira; comissão/proteção futuras isentas","")))</x:f>
        <x:v>Vincendo: VP da parcela financeira; comissão/proteção futuras isentas</x:v>
      </x:c>
    </x:row>
    <x:row r="50">
      <x:c r="A50" s="129" t="n">
        <x:f>IF(ROW()-7&lt;=Contrato!$C$16,ROW()-7,"")</x:f>
        <x:v>43</x:v>
      </x:c>
      <x:c r="B50" s="129" t="n">
        <x:f>IF(A50="","",Contrato!$C$16)</x:f>
        <x:v>209</x:v>
      </x:c>
      <x:c r="C50" s="130" t="n">
        <x:f>IF(A50="","",IF(AB50&lt;&gt;"",AB50,IF(Contrato!$C$14="Mensal",EDATE(Contrato!$C$13,A50-1),Contrato!$C$13+(A50-1)*IF(Contrato!$C$14="Quinzenal",14,IF(Contrato!$C$14="Semanal",7,1)))))</x:f>
        <x:v>46563</x:v>
      </x:c>
      <x:c r="D50" s="131" t="n">
        <x:f>IF(A50="","",W49)</x:f>
        <x:v>9666.38</x:v>
      </x:c>
      <x:c r="E50" s="131" t="n">
        <x:f>IF(A50="","",ROUND(D50*Simulador!$I$18,2))</x:f>
        <x:v>38.1</x:v>
      </x:c>
      <x:c r="F50" s="131" t="n">
        <x:f>IF(A50="","",ROUND(MIN(D50,MAX(G50-E50,0)),2))</x:f>
        <x:v>41.02</x:v>
      </x:c>
      <x:c r="G50" s="131" t="n">
        <x:f>IF(A50="","",IF(A50&lt;Contrato!$C$16,Contrato!$C$27,Contrato!$C$28))</x:f>
        <x:v>79.12</x:v>
      </x:c>
      <x:c r="H50" s="131" t="n">
        <x:f>IF(A50="","",Contrato!$C$29)</x:f>
        <x:v>199.99</x:v>
      </x:c>
      <x:c r="I50" s="131" t="n">
        <x:f>IF(A50="","",Contrato!$C$30)</x:f>
        <x:v>187.5</x:v>
      </x:c>
      <x:c r="J50" s="131" t="n">
        <x:f>IF(A50="","",Contrato!$C$31)</x:f>
        <x:v>0</x:v>
      </x:c>
      <x:c r="K50" s="131" t="n">
        <x:f>IF(A50="","",ROUND(SUM(G50:J50),2))</x:f>
        <x:v>466.61</x:v>
      </x:c>
      <x:c r="L50" s="80"/>
      <x:c r="M50" s="77"/>
      <x:c r="N50" s="29" t="str">
        <x:f>IF(A50="","",IF(L50&gt;=K50,"Paga",IF(L50&gt;0,"Paga parcialmente",IF(C50&lt;$A$5,"Vencida","Prevista"))))</x:f>
        <x:v>Prevista</x:v>
      </x:c>
      <x:c r="O50" s="29" t="n">
        <x:f>IF(A50="","",$A$5-C50)</x:f>
        <x:v>-303</x:v>
      </x:c>
      <x:c r="P50" s="131" t="n">
        <x:f>IF(A50="","",IF(AND(O50&gt;0,MAX(K50-L50,0)&gt;0,N50&lt;&gt;"Paga"),ROUND(MAX(K50-L50,0)*'Parâmetros'!$B$34,2),0))</x:f>
        <x:v>0</x:v>
      </x:c>
      <x:c r="Q50" s="131" t="n">
        <x:f>IF(A50="","",IF(AND(O50&gt;0,MAX(K50-L50,0)&gt;0,N50&lt;&gt;"Paga"),ROUND(MAX(K50-L50,0)*'Parâmetros'!$B$35*(O50/'Parâmetros'!$B$33),2),0))</x:f>
        <x:v>0</x:v>
      </x:c>
      <x:c r="R50" s="131" t="n">
        <x:f>IF(A50="","",IF(O50&gt;0,ROUND(MAX(K50-L50,0)+P50+Q50,2),0))</x:f>
        <x:v>0</x:v>
      </x:c>
      <x:c r="S50" s="131" t="n">
        <x:f>IF(A50="","",IF(OR(N50="Paga",O50&gt;0),0,ROUND(IF(K50=0,0,G50*MAX(K50-L50,0)/K50)/(1+'Parâmetros'!$C$13)^((C50-$A$5)/30),2)))</x:f>
        <x:v>68.07</x:v>
      </x:c>
      <x:c r="T50" s="131" t="n">
        <x:f>IF(A50="","",0)</x:f>
        <x:v>0</x:v>
      </x:c>
      <x:c r="U50" s="131" t="n">
        <x:f>IF(A50="","",0)</x:f>
        <x:v>0</x:v>
      </x:c>
      <x:c r="V50" s="131" t="n">
        <x:f>IF(A50="","",IF(N50="Paga",0,IF(O50&gt;0,R50,S50)))</x:f>
        <x:v>68.07</x:v>
      </x:c>
      <x:c r="W50" s="131" t="n">
        <x:f>IF(A50="","",ROUND(MAX(D50-F50,0),2))</x:f>
        <x:v>9625.36</x:v>
      </x:c>
      <x:c r="X50" s="131" t="n">
        <x:f>IF(A50="","",ROUND(SUM($G50:$G$407),2))</x:f>
        <x:v>13211.84</x:v>
      </x:c>
      <x:c r="Y50" s="131" t="n">
        <x:f>IF(A50="","",ROUND(MAX(X50-D50,0),2))</x:f>
        <x:v>3545.46</x:v>
      </x:c>
      <x:c r="Z50" s="131" t="n">
        <x:f>IF(A50="","",ROUND(SUM($V50:$V$407),2))</x:f>
        <x:v>8640.05</x:v>
      </x:c>
      <x:c r="AA50" s="131" t="n">
        <x:f>IF(A50="","",ROUND(SUM($K50:$K$407)-Z50,2))</x:f>
        <x:v>69282.62</x:v>
      </x:c>
      <x:c r="AB50" s="77"/>
      <x:c r="AC50" s="36" t="str">
        <x:f>IF(A50="","",IF(O50&gt;0,"Vencido: saldo da fatura + mora",IF(O50&lt;=0,"Vincendo: VP da parcela financeira; comissão/proteção futuras isentas","")))</x:f>
        <x:v>Vincendo: VP da parcela financeira; comissão/proteção futuras isentas</x:v>
      </x:c>
    </x:row>
    <x:row r="51">
      <x:c r="A51" s="129" t="n">
        <x:f>IF(ROW()-7&lt;=Contrato!$C$16,ROW()-7,"")</x:f>
        <x:v>44</x:v>
      </x:c>
      <x:c r="B51" s="129" t="n">
        <x:f>IF(A51="","",Contrato!$C$16)</x:f>
        <x:v>209</x:v>
      </x:c>
      <x:c r="C51" s="130" t="n">
        <x:f>IF(A51="","",IF(AB51&lt;&gt;"",AB51,IF(Contrato!$C$14="Mensal",EDATE(Contrato!$C$13,A51-1),Contrato!$C$13+(A51-1)*IF(Contrato!$C$14="Quinzenal",14,IF(Contrato!$C$14="Semanal",7,1)))))</x:f>
        <x:v>46570</x:v>
      </x:c>
      <x:c r="D51" s="131" t="n">
        <x:f>IF(A51="","",W50)</x:f>
        <x:v>9625.36</x:v>
      </x:c>
      <x:c r="E51" s="131" t="n">
        <x:f>IF(A51="","",ROUND(D51*Simulador!$I$18,2))</x:f>
        <x:v>37.93</x:v>
      </x:c>
      <x:c r="F51" s="131" t="n">
        <x:f>IF(A51="","",ROUND(MIN(D51,MAX(G51-E51,0)),2))</x:f>
        <x:v>41.19</x:v>
      </x:c>
      <x:c r="G51" s="131" t="n">
        <x:f>IF(A51="","",IF(A51&lt;Contrato!$C$16,Contrato!$C$27,Contrato!$C$28))</x:f>
        <x:v>79.12</x:v>
      </x:c>
      <x:c r="H51" s="131" t="n">
        <x:f>IF(A51="","",Contrato!$C$29)</x:f>
        <x:v>199.99</x:v>
      </x:c>
      <x:c r="I51" s="131" t="n">
        <x:f>IF(A51="","",Contrato!$C$30)</x:f>
        <x:v>187.5</x:v>
      </x:c>
      <x:c r="J51" s="131" t="n">
        <x:f>IF(A51="","",Contrato!$C$31)</x:f>
        <x:v>0</x:v>
      </x:c>
      <x:c r="K51" s="131" t="n">
        <x:f>IF(A51="","",ROUND(SUM(G51:J51),2))</x:f>
        <x:v>466.61</x:v>
      </x:c>
      <x:c r="L51" s="80"/>
      <x:c r="M51" s="77"/>
      <x:c r="N51" s="29" t="str">
        <x:f>IF(A51="","",IF(L51&gt;=K51,"Paga",IF(L51&gt;0,"Paga parcialmente",IF(C51&lt;$A$5,"Vencida","Prevista"))))</x:f>
        <x:v>Prevista</x:v>
      </x:c>
      <x:c r="O51" s="29" t="n">
        <x:f>IF(A51="","",$A$5-C51)</x:f>
        <x:v>-310</x:v>
      </x:c>
      <x:c r="P51" s="131" t="n">
        <x:f>IF(A51="","",IF(AND(O51&gt;0,MAX(K51-L51,0)&gt;0,N51&lt;&gt;"Paga"),ROUND(MAX(K51-L51,0)*'Parâmetros'!$B$34,2),0))</x:f>
        <x:v>0</x:v>
      </x:c>
      <x:c r="Q51" s="131" t="n">
        <x:f>IF(A51="","",IF(AND(O51&gt;0,MAX(K51-L51,0)&gt;0,N51&lt;&gt;"Paga"),ROUND(MAX(K51-L51,0)*'Parâmetros'!$B$35*(O51/'Parâmetros'!$B$33),2),0))</x:f>
        <x:v>0</x:v>
      </x:c>
      <x:c r="R51" s="131" t="n">
        <x:f>IF(A51="","",IF(O51&gt;0,ROUND(MAX(K51-L51,0)+P51+Q51,2),0))</x:f>
        <x:v>0</x:v>
      </x:c>
      <x:c r="S51" s="131" t="n">
        <x:f>IF(A51="","",IF(OR(N51="Paga",O51&gt;0),0,ROUND(IF(K51=0,0,G51*MAX(K51-L51,0)/K51)/(1+'Parâmetros'!$C$13)^((C51-$A$5)/30),2)))</x:f>
        <x:v>67.84</x:v>
      </x:c>
      <x:c r="T51" s="131" t="n">
        <x:f>IF(A51="","",0)</x:f>
        <x:v>0</x:v>
      </x:c>
      <x:c r="U51" s="131" t="n">
        <x:f>IF(A51="","",0)</x:f>
        <x:v>0</x:v>
      </x:c>
      <x:c r="V51" s="131" t="n">
        <x:f>IF(A51="","",IF(N51="Paga",0,IF(O51&gt;0,R51,S51)))</x:f>
        <x:v>67.84</x:v>
      </x:c>
      <x:c r="W51" s="131" t="n">
        <x:f>IF(A51="","",ROUND(MAX(D51-F51,0),2))</x:f>
        <x:v>9584.17</x:v>
      </x:c>
      <x:c r="X51" s="131" t="n">
        <x:f>IF(A51="","",ROUND(SUM($G51:$G$407),2))</x:f>
        <x:v>13132.72</x:v>
      </x:c>
      <x:c r="Y51" s="131" t="n">
        <x:f>IF(A51="","",ROUND(MAX(X51-D51,0),2))</x:f>
        <x:v>3507.36</x:v>
      </x:c>
      <x:c r="Z51" s="131" t="n">
        <x:f>IF(A51="","",ROUND(SUM($V51:$V$407),2))</x:f>
        <x:v>8571.98</x:v>
      </x:c>
      <x:c r="AA51" s="131" t="n">
        <x:f>IF(A51="","",ROUND(SUM($K51:$K$407)-Z51,2))</x:f>
        <x:v>68884.08</x:v>
      </x:c>
      <x:c r="AB51" s="77"/>
      <x:c r="AC51" s="36" t="str">
        <x:f>IF(A51="","",IF(O51&gt;0,"Vencido: saldo da fatura + mora",IF(O51&lt;=0,"Vincendo: VP da parcela financeira; comissão/proteção futuras isentas","")))</x:f>
        <x:v>Vincendo: VP da parcela financeira; comissão/proteção futuras isentas</x:v>
      </x:c>
    </x:row>
    <x:row r="52">
      <x:c r="A52" s="129" t="n">
        <x:f>IF(ROW()-7&lt;=Contrato!$C$16,ROW()-7,"")</x:f>
        <x:v>45</x:v>
      </x:c>
      <x:c r="B52" s="129" t="n">
        <x:f>IF(A52="","",Contrato!$C$16)</x:f>
        <x:v>209</x:v>
      </x:c>
      <x:c r="C52" s="130" t="n">
        <x:f>IF(A52="","",IF(AB52&lt;&gt;"",AB52,IF(Contrato!$C$14="Mensal",EDATE(Contrato!$C$13,A52-1),Contrato!$C$13+(A52-1)*IF(Contrato!$C$14="Quinzenal",14,IF(Contrato!$C$14="Semanal",7,1)))))</x:f>
        <x:v>46577</x:v>
      </x:c>
      <x:c r="D52" s="131" t="n">
        <x:f>IF(A52="","",W51)</x:f>
        <x:v>9584.17</x:v>
      </x:c>
      <x:c r="E52" s="131" t="n">
        <x:f>IF(A52="","",ROUND(D52*Simulador!$I$18,2))</x:f>
        <x:v>37.77</x:v>
      </x:c>
      <x:c r="F52" s="131" t="n">
        <x:f>IF(A52="","",ROUND(MIN(D52,MAX(G52-E52,0)),2))</x:f>
        <x:v>41.35</x:v>
      </x:c>
      <x:c r="G52" s="131" t="n">
        <x:f>IF(A52="","",IF(A52&lt;Contrato!$C$16,Contrato!$C$27,Contrato!$C$28))</x:f>
        <x:v>79.12</x:v>
      </x:c>
      <x:c r="H52" s="131" t="n">
        <x:f>IF(A52="","",Contrato!$C$29)</x:f>
        <x:v>199.99</x:v>
      </x:c>
      <x:c r="I52" s="131" t="n">
        <x:f>IF(A52="","",Contrato!$C$30)</x:f>
        <x:v>187.5</x:v>
      </x:c>
      <x:c r="J52" s="131" t="n">
        <x:f>IF(A52="","",Contrato!$C$31)</x:f>
        <x:v>0</x:v>
      </x:c>
      <x:c r="K52" s="131" t="n">
        <x:f>IF(A52="","",ROUND(SUM(G52:J52),2))</x:f>
        <x:v>466.61</x:v>
      </x:c>
      <x:c r="L52" s="80"/>
      <x:c r="M52" s="77"/>
      <x:c r="N52" s="29" t="str">
        <x:f>IF(A52="","",IF(L52&gt;=K52,"Paga",IF(L52&gt;0,"Paga parcialmente",IF(C52&lt;$A$5,"Vencida","Prevista"))))</x:f>
        <x:v>Prevista</x:v>
      </x:c>
      <x:c r="O52" s="29" t="n">
        <x:f>IF(A52="","",$A$5-C52)</x:f>
        <x:v>-317</x:v>
      </x:c>
      <x:c r="P52" s="131" t="n">
        <x:f>IF(A52="","",IF(AND(O52&gt;0,MAX(K52-L52,0)&gt;0,N52&lt;&gt;"Paga"),ROUND(MAX(K52-L52,0)*'Parâmetros'!$B$34,2),0))</x:f>
        <x:v>0</x:v>
      </x:c>
      <x:c r="Q52" s="131" t="n">
        <x:f>IF(A52="","",IF(AND(O52&gt;0,MAX(K52-L52,0)&gt;0,N52&lt;&gt;"Paga"),ROUND(MAX(K52-L52,0)*'Parâmetros'!$B$35*(O52/'Parâmetros'!$B$33),2),0))</x:f>
        <x:v>0</x:v>
      </x:c>
      <x:c r="R52" s="131" t="n">
        <x:f>IF(A52="","",IF(O52&gt;0,ROUND(MAX(K52-L52,0)+P52+Q52,2),0))</x:f>
        <x:v>0</x:v>
      </x:c>
      <x:c r="S52" s="131" t="n">
        <x:f>IF(A52="","",IF(OR(N52="Paga",O52&gt;0),0,ROUND(IF(K52=0,0,G52*MAX(K52-L52,0)/K52)/(1+'Parâmetros'!$C$13)^((C52-$A$5)/30),2)))</x:f>
        <x:v>67.6</x:v>
      </x:c>
      <x:c r="T52" s="131" t="n">
        <x:f>IF(A52="","",0)</x:f>
        <x:v>0</x:v>
      </x:c>
      <x:c r="U52" s="131" t="n">
        <x:f>IF(A52="","",0)</x:f>
        <x:v>0</x:v>
      </x:c>
      <x:c r="V52" s="131" t="n">
        <x:f>IF(A52="","",IF(N52="Paga",0,IF(O52&gt;0,R52,S52)))</x:f>
        <x:v>67.6</x:v>
      </x:c>
      <x:c r="W52" s="131" t="n">
        <x:f>IF(A52="","",ROUND(MAX(D52-F52,0),2))</x:f>
        <x:v>9542.82</x:v>
      </x:c>
      <x:c r="X52" s="131" t="n">
        <x:f>IF(A52="","",ROUND(SUM($G52:$G$407),2))</x:f>
        <x:v>13053.6</x:v>
      </x:c>
      <x:c r="Y52" s="131" t="n">
        <x:f>IF(A52="","",ROUND(MAX(X52-D52,0),2))</x:f>
        <x:v>3469.43</x:v>
      </x:c>
      <x:c r="Z52" s="131" t="n">
        <x:f>IF(A52="","",ROUND(SUM($V52:$V$407),2))</x:f>
        <x:v>8504.14</x:v>
      </x:c>
      <x:c r="AA52" s="131" t="n">
        <x:f>IF(A52="","",ROUND(SUM($K52:$K$407)-Z52,2))</x:f>
        <x:v>68485.31</x:v>
      </x:c>
      <x:c r="AB52" s="77"/>
      <x:c r="AC52" s="36" t="str">
        <x:f>IF(A52="","",IF(O52&gt;0,"Vencido: saldo da fatura + mora",IF(O52&lt;=0,"Vincendo: VP da parcela financeira; comissão/proteção futuras isentas","")))</x:f>
        <x:v>Vincendo: VP da parcela financeira; comissão/proteção futuras isentas</x:v>
      </x:c>
    </x:row>
    <x:row r="53">
      <x:c r="A53" s="129" t="n">
        <x:f>IF(ROW()-7&lt;=Contrato!$C$16,ROW()-7,"")</x:f>
        <x:v>46</x:v>
      </x:c>
      <x:c r="B53" s="129" t="n">
        <x:f>IF(A53="","",Contrato!$C$16)</x:f>
        <x:v>209</x:v>
      </x:c>
      <x:c r="C53" s="130" t="n">
        <x:f>IF(A53="","",IF(AB53&lt;&gt;"",AB53,IF(Contrato!$C$14="Mensal",EDATE(Contrato!$C$13,A53-1),Contrato!$C$13+(A53-1)*IF(Contrato!$C$14="Quinzenal",14,IF(Contrato!$C$14="Semanal",7,1)))))</x:f>
        <x:v>46584</x:v>
      </x:c>
      <x:c r="D53" s="131" t="n">
        <x:f>IF(A53="","",W52)</x:f>
        <x:v>9542.82</x:v>
      </x:c>
      <x:c r="E53" s="131" t="n">
        <x:f>IF(A53="","",ROUND(D53*Simulador!$I$18,2))</x:f>
        <x:v>37.61</x:v>
      </x:c>
      <x:c r="F53" s="131" t="n">
        <x:f>IF(A53="","",ROUND(MIN(D53,MAX(G53-E53,0)),2))</x:f>
        <x:v>41.51</x:v>
      </x:c>
      <x:c r="G53" s="131" t="n">
        <x:f>IF(A53="","",IF(A53&lt;Contrato!$C$16,Contrato!$C$27,Contrato!$C$28))</x:f>
        <x:v>79.12</x:v>
      </x:c>
      <x:c r="H53" s="131" t="n">
        <x:f>IF(A53="","",Contrato!$C$29)</x:f>
        <x:v>199.99</x:v>
      </x:c>
      <x:c r="I53" s="131" t="n">
        <x:f>IF(A53="","",Contrato!$C$30)</x:f>
        <x:v>187.5</x:v>
      </x:c>
      <x:c r="J53" s="131" t="n">
        <x:f>IF(A53="","",Contrato!$C$31)</x:f>
        <x:v>0</x:v>
      </x:c>
      <x:c r="K53" s="131" t="n">
        <x:f>IF(A53="","",ROUND(SUM(G53:J53),2))</x:f>
        <x:v>466.61</x:v>
      </x:c>
      <x:c r="L53" s="80"/>
      <x:c r="M53" s="77"/>
      <x:c r="N53" s="29" t="str">
        <x:f>IF(A53="","",IF(L53&gt;=K53,"Paga",IF(L53&gt;0,"Paga parcialmente",IF(C53&lt;$A$5,"Vencida","Prevista"))))</x:f>
        <x:v>Prevista</x:v>
      </x:c>
      <x:c r="O53" s="29" t="n">
        <x:f>IF(A53="","",$A$5-C53)</x:f>
        <x:v>-324</x:v>
      </x:c>
      <x:c r="P53" s="131" t="n">
        <x:f>IF(A53="","",IF(AND(O53&gt;0,MAX(K53-L53,0)&gt;0,N53&lt;&gt;"Paga"),ROUND(MAX(K53-L53,0)*'Parâmetros'!$B$34,2),0))</x:f>
        <x:v>0</x:v>
      </x:c>
      <x:c r="Q53" s="131" t="n">
        <x:f>IF(A53="","",IF(AND(O53&gt;0,MAX(K53-L53,0)&gt;0,N53&lt;&gt;"Paga"),ROUND(MAX(K53-L53,0)*'Parâmetros'!$B$35*(O53/'Parâmetros'!$B$33),2),0))</x:f>
        <x:v>0</x:v>
      </x:c>
      <x:c r="R53" s="131" t="n">
        <x:f>IF(A53="","",IF(O53&gt;0,ROUND(MAX(K53-L53,0)+P53+Q53,2),0))</x:f>
        <x:v>0</x:v>
      </x:c>
      <x:c r="S53" s="131" t="n">
        <x:f>IF(A53="","",IF(OR(N53="Paga",O53&gt;0),0,ROUND(IF(K53=0,0,G53*MAX(K53-L53,0)/K53)/(1+'Parâmetros'!$C$13)^((C53-$A$5)/30),2)))</x:f>
        <x:v>67.37</x:v>
      </x:c>
      <x:c r="T53" s="131" t="n">
        <x:f>IF(A53="","",0)</x:f>
        <x:v>0</x:v>
      </x:c>
      <x:c r="U53" s="131" t="n">
        <x:f>IF(A53="","",0)</x:f>
        <x:v>0</x:v>
      </x:c>
      <x:c r="V53" s="131" t="n">
        <x:f>IF(A53="","",IF(N53="Paga",0,IF(O53&gt;0,R53,S53)))</x:f>
        <x:v>67.37</x:v>
      </x:c>
      <x:c r="W53" s="131" t="n">
        <x:f>IF(A53="","",ROUND(MAX(D53-F53,0),2))</x:f>
        <x:v>9501.31</x:v>
      </x:c>
      <x:c r="X53" s="131" t="n">
        <x:f>IF(A53="","",ROUND(SUM($G53:$G$407),2))</x:f>
        <x:v>12974.48</x:v>
      </x:c>
      <x:c r="Y53" s="131" t="n">
        <x:f>IF(A53="","",ROUND(MAX(X53-D53,0),2))</x:f>
        <x:v>3431.66</x:v>
      </x:c>
      <x:c r="Z53" s="131" t="n">
        <x:f>IF(A53="","",ROUND(SUM($V53:$V$407),2))</x:f>
        <x:v>8436.54</x:v>
      </x:c>
      <x:c r="AA53" s="131" t="n">
        <x:f>IF(A53="","",ROUND(SUM($K53:$K$407)-Z53,2))</x:f>
        <x:v>68086.3</x:v>
      </x:c>
      <x:c r="AB53" s="77"/>
      <x:c r="AC53" s="36" t="str">
        <x:f>IF(A53="","",IF(O53&gt;0,"Vencido: saldo da fatura + mora",IF(O53&lt;=0,"Vincendo: VP da parcela financeira; comissão/proteção futuras isentas","")))</x:f>
        <x:v>Vincendo: VP da parcela financeira; comissão/proteção futuras isentas</x:v>
      </x:c>
    </x:row>
    <x:row r="54">
      <x:c r="A54" s="129" t="n">
        <x:f>IF(ROW()-7&lt;=Contrato!$C$16,ROW()-7,"")</x:f>
        <x:v>47</x:v>
      </x:c>
      <x:c r="B54" s="129" t="n">
        <x:f>IF(A54="","",Contrato!$C$16)</x:f>
        <x:v>209</x:v>
      </x:c>
      <x:c r="C54" s="130" t="n">
        <x:f>IF(A54="","",IF(AB54&lt;&gt;"",AB54,IF(Contrato!$C$14="Mensal",EDATE(Contrato!$C$13,A54-1),Contrato!$C$13+(A54-1)*IF(Contrato!$C$14="Quinzenal",14,IF(Contrato!$C$14="Semanal",7,1)))))</x:f>
        <x:v>46591</x:v>
      </x:c>
      <x:c r="D54" s="131" t="n">
        <x:f>IF(A54="","",W53)</x:f>
        <x:v>9501.31</x:v>
      </x:c>
      <x:c r="E54" s="131" t="n">
        <x:f>IF(A54="","",ROUND(D54*Simulador!$I$18,2))</x:f>
        <x:v>37.45</x:v>
      </x:c>
      <x:c r="F54" s="131" t="n">
        <x:f>IF(A54="","",ROUND(MIN(D54,MAX(G54-E54,0)),2))</x:f>
        <x:v>41.67</x:v>
      </x:c>
      <x:c r="G54" s="131" t="n">
        <x:f>IF(A54="","",IF(A54&lt;Contrato!$C$16,Contrato!$C$27,Contrato!$C$28))</x:f>
        <x:v>79.12</x:v>
      </x:c>
      <x:c r="H54" s="131" t="n">
        <x:f>IF(A54="","",Contrato!$C$29)</x:f>
        <x:v>199.99</x:v>
      </x:c>
      <x:c r="I54" s="131" t="n">
        <x:f>IF(A54="","",Contrato!$C$30)</x:f>
        <x:v>187.5</x:v>
      </x:c>
      <x:c r="J54" s="131" t="n">
        <x:f>IF(A54="","",Contrato!$C$31)</x:f>
        <x:v>0</x:v>
      </x:c>
      <x:c r="K54" s="131" t="n">
        <x:f>IF(A54="","",ROUND(SUM(G54:J54),2))</x:f>
        <x:v>466.61</x:v>
      </x:c>
      <x:c r="L54" s="80"/>
      <x:c r="M54" s="77"/>
      <x:c r="N54" s="29" t="str">
        <x:f>IF(A54="","",IF(L54&gt;=K54,"Paga",IF(L54&gt;0,"Paga parcialmente",IF(C54&lt;$A$5,"Vencida","Prevista"))))</x:f>
        <x:v>Prevista</x:v>
      </x:c>
      <x:c r="O54" s="29" t="n">
        <x:f>IF(A54="","",$A$5-C54)</x:f>
        <x:v>-331</x:v>
      </x:c>
      <x:c r="P54" s="131" t="n">
        <x:f>IF(A54="","",IF(AND(O54&gt;0,MAX(K54-L54,0)&gt;0,N54&lt;&gt;"Paga"),ROUND(MAX(K54-L54,0)*'Parâmetros'!$B$34,2),0))</x:f>
        <x:v>0</x:v>
      </x:c>
      <x:c r="Q54" s="131" t="n">
        <x:f>IF(A54="","",IF(AND(O54&gt;0,MAX(K54-L54,0)&gt;0,N54&lt;&gt;"Paga"),ROUND(MAX(K54-L54,0)*'Parâmetros'!$B$35*(O54/'Parâmetros'!$B$33),2),0))</x:f>
        <x:v>0</x:v>
      </x:c>
      <x:c r="R54" s="131" t="n">
        <x:f>IF(A54="","",IF(O54&gt;0,ROUND(MAX(K54-L54,0)+P54+Q54,2),0))</x:f>
        <x:v>0</x:v>
      </x:c>
      <x:c r="S54" s="131" t="n">
        <x:f>IF(A54="","",IF(OR(N54="Paga",O54&gt;0),0,ROUND(IF(K54=0,0,G54*MAX(K54-L54,0)/K54)/(1+'Parâmetros'!$C$13)^((C54-$A$5)/30),2)))</x:f>
        <x:v>67.13</x:v>
      </x:c>
      <x:c r="T54" s="131" t="n">
        <x:f>IF(A54="","",0)</x:f>
        <x:v>0</x:v>
      </x:c>
      <x:c r="U54" s="131" t="n">
        <x:f>IF(A54="","",0)</x:f>
        <x:v>0</x:v>
      </x:c>
      <x:c r="V54" s="131" t="n">
        <x:f>IF(A54="","",IF(N54="Paga",0,IF(O54&gt;0,R54,S54)))</x:f>
        <x:v>67.13</x:v>
      </x:c>
      <x:c r="W54" s="131" t="n">
        <x:f>IF(A54="","",ROUND(MAX(D54-F54,0),2))</x:f>
        <x:v>9459.64</x:v>
      </x:c>
      <x:c r="X54" s="131" t="n">
        <x:f>IF(A54="","",ROUND(SUM($G54:$G$407),2))</x:f>
        <x:v>12895.36</x:v>
      </x:c>
      <x:c r="Y54" s="131" t="n">
        <x:f>IF(A54="","",ROUND(MAX(X54-D54,0),2))</x:f>
        <x:v>3394.05</x:v>
      </x:c>
      <x:c r="Z54" s="131" t="n">
        <x:f>IF(A54="","",ROUND(SUM($V54:$V$407),2))</x:f>
        <x:v>8369.17</x:v>
      </x:c>
      <x:c r="AA54" s="131" t="n">
        <x:f>IF(A54="","",ROUND(SUM($K54:$K$407)-Z54,2))</x:f>
        <x:v>67687.06</x:v>
      </x:c>
      <x:c r="AB54" s="77"/>
      <x:c r="AC54" s="36" t="str">
        <x:f>IF(A54="","",IF(O54&gt;0,"Vencido: saldo da fatura + mora",IF(O54&lt;=0,"Vincendo: VP da parcela financeira; comissão/proteção futuras isentas","")))</x:f>
        <x:v>Vincendo: VP da parcela financeira; comissão/proteção futuras isentas</x:v>
      </x:c>
    </x:row>
    <x:row r="55">
      <x:c r="A55" s="129" t="n">
        <x:f>IF(ROW()-7&lt;=Contrato!$C$16,ROW()-7,"")</x:f>
        <x:v>48</x:v>
      </x:c>
      <x:c r="B55" s="129" t="n">
        <x:f>IF(A55="","",Contrato!$C$16)</x:f>
        <x:v>209</x:v>
      </x:c>
      <x:c r="C55" s="130" t="n">
        <x:f>IF(A55="","",IF(AB55&lt;&gt;"",AB55,IF(Contrato!$C$14="Mensal",EDATE(Contrato!$C$13,A55-1),Contrato!$C$13+(A55-1)*IF(Contrato!$C$14="Quinzenal",14,IF(Contrato!$C$14="Semanal",7,1)))))</x:f>
        <x:v>46598</x:v>
      </x:c>
      <x:c r="D55" s="131" t="n">
        <x:f>IF(A55="","",W54)</x:f>
        <x:v>9459.64</x:v>
      </x:c>
      <x:c r="E55" s="131" t="n">
        <x:f>IF(A55="","",ROUND(D55*Simulador!$I$18,2))</x:f>
        <x:v>37.28</x:v>
      </x:c>
      <x:c r="F55" s="131" t="n">
        <x:f>IF(A55="","",ROUND(MIN(D55,MAX(G55-E55,0)),2))</x:f>
        <x:v>41.84</x:v>
      </x:c>
      <x:c r="G55" s="131" t="n">
        <x:f>IF(A55="","",IF(A55&lt;Contrato!$C$16,Contrato!$C$27,Contrato!$C$28))</x:f>
        <x:v>79.12</x:v>
      </x:c>
      <x:c r="H55" s="131" t="n">
        <x:f>IF(A55="","",Contrato!$C$29)</x:f>
        <x:v>199.99</x:v>
      </x:c>
      <x:c r="I55" s="131" t="n">
        <x:f>IF(A55="","",Contrato!$C$30)</x:f>
        <x:v>187.5</x:v>
      </x:c>
      <x:c r="J55" s="131" t="n">
        <x:f>IF(A55="","",Contrato!$C$31)</x:f>
        <x:v>0</x:v>
      </x:c>
      <x:c r="K55" s="131" t="n">
        <x:f>IF(A55="","",ROUND(SUM(G55:J55),2))</x:f>
        <x:v>466.61</x:v>
      </x:c>
      <x:c r="L55" s="80"/>
      <x:c r="M55" s="77"/>
      <x:c r="N55" s="29" t="str">
        <x:f>IF(A55="","",IF(L55&gt;=K55,"Paga",IF(L55&gt;0,"Paga parcialmente",IF(C55&lt;$A$5,"Vencida","Prevista"))))</x:f>
        <x:v>Prevista</x:v>
      </x:c>
      <x:c r="O55" s="29" t="n">
        <x:f>IF(A55="","",$A$5-C55)</x:f>
        <x:v>-338</x:v>
      </x:c>
      <x:c r="P55" s="131" t="n">
        <x:f>IF(A55="","",IF(AND(O55&gt;0,MAX(K55-L55,0)&gt;0,N55&lt;&gt;"Paga"),ROUND(MAX(K55-L55,0)*'Parâmetros'!$B$34,2),0))</x:f>
        <x:v>0</x:v>
      </x:c>
      <x:c r="Q55" s="131" t="n">
        <x:f>IF(A55="","",IF(AND(O55&gt;0,MAX(K55-L55,0)&gt;0,N55&lt;&gt;"Paga"),ROUND(MAX(K55-L55,0)*'Parâmetros'!$B$35*(O55/'Parâmetros'!$B$33),2),0))</x:f>
        <x:v>0</x:v>
      </x:c>
      <x:c r="R55" s="131" t="n">
        <x:f>IF(A55="","",IF(O55&gt;0,ROUND(MAX(K55-L55,0)+P55+Q55,2),0))</x:f>
        <x:v>0</x:v>
      </x:c>
      <x:c r="S55" s="131" t="n">
        <x:f>IF(A55="","",IF(OR(N55="Paga",O55&gt;0),0,ROUND(IF(K55=0,0,G55*MAX(K55-L55,0)/K55)/(1+'Parâmetros'!$C$13)^((C55-$A$5)/30),2)))</x:f>
        <x:v>66.9</x:v>
      </x:c>
      <x:c r="T55" s="131" t="n">
        <x:f>IF(A55="","",0)</x:f>
        <x:v>0</x:v>
      </x:c>
      <x:c r="U55" s="131" t="n">
        <x:f>IF(A55="","",0)</x:f>
        <x:v>0</x:v>
      </x:c>
      <x:c r="V55" s="131" t="n">
        <x:f>IF(A55="","",IF(N55="Paga",0,IF(O55&gt;0,R55,S55)))</x:f>
        <x:v>66.9</x:v>
      </x:c>
      <x:c r="W55" s="131" t="n">
        <x:f>IF(A55="","",ROUND(MAX(D55-F55,0),2))</x:f>
        <x:v>9417.8</x:v>
      </x:c>
      <x:c r="X55" s="131" t="n">
        <x:f>IF(A55="","",ROUND(SUM($G55:$G$407),2))</x:f>
        <x:v>12816.24</x:v>
      </x:c>
      <x:c r="Y55" s="131" t="n">
        <x:f>IF(A55="","",ROUND(MAX(X55-D55,0),2))</x:f>
        <x:v>3356.6</x:v>
      </x:c>
      <x:c r="Z55" s="131" t="n">
        <x:f>IF(A55="","",ROUND(SUM($V55:$V$407),2))</x:f>
        <x:v>8302.04</x:v>
      </x:c>
      <x:c r="AA55" s="131" t="n">
        <x:f>IF(A55="","",ROUND(SUM($K55:$K$407)-Z55,2))</x:f>
        <x:v>67287.58</x:v>
      </x:c>
      <x:c r="AB55" s="77"/>
      <x:c r="AC55" s="36" t="str">
        <x:f>IF(A55="","",IF(O55&gt;0,"Vencido: saldo da fatura + mora",IF(O55&lt;=0,"Vincendo: VP da parcela financeira; comissão/proteção futuras isentas","")))</x:f>
        <x:v>Vincendo: VP da parcela financeira; comissão/proteção futuras isentas</x:v>
      </x:c>
    </x:row>
    <x:row r="56">
      <x:c r="A56" s="129" t="n">
        <x:f>IF(ROW()-7&lt;=Contrato!$C$16,ROW()-7,"")</x:f>
        <x:v>49</x:v>
      </x:c>
      <x:c r="B56" s="129" t="n">
        <x:f>IF(A56="","",Contrato!$C$16)</x:f>
        <x:v>209</x:v>
      </x:c>
      <x:c r="C56" s="130" t="n">
        <x:f>IF(A56="","",IF(AB56&lt;&gt;"",AB56,IF(Contrato!$C$14="Mensal",EDATE(Contrato!$C$13,A56-1),Contrato!$C$13+(A56-1)*IF(Contrato!$C$14="Quinzenal",14,IF(Contrato!$C$14="Semanal",7,1)))))</x:f>
        <x:v>46605</x:v>
      </x:c>
      <x:c r="D56" s="131" t="n">
        <x:f>IF(A56="","",W55)</x:f>
        <x:v>9417.8</x:v>
      </x:c>
      <x:c r="E56" s="131" t="n">
        <x:f>IF(A56="","",ROUND(D56*Simulador!$I$18,2))</x:f>
        <x:v>37.12</x:v>
      </x:c>
      <x:c r="F56" s="131" t="n">
        <x:f>IF(A56="","",ROUND(MIN(D56,MAX(G56-E56,0)),2))</x:f>
        <x:v>42</x:v>
      </x:c>
      <x:c r="G56" s="131" t="n">
        <x:f>IF(A56="","",IF(A56&lt;Contrato!$C$16,Contrato!$C$27,Contrato!$C$28))</x:f>
        <x:v>79.12</x:v>
      </x:c>
      <x:c r="H56" s="131" t="n">
        <x:f>IF(A56="","",Contrato!$C$29)</x:f>
        <x:v>199.99</x:v>
      </x:c>
      <x:c r="I56" s="131" t="n">
        <x:f>IF(A56="","",Contrato!$C$30)</x:f>
        <x:v>187.5</x:v>
      </x:c>
      <x:c r="J56" s="131" t="n">
        <x:f>IF(A56="","",Contrato!$C$31)</x:f>
        <x:v>0</x:v>
      </x:c>
      <x:c r="K56" s="131" t="n">
        <x:f>IF(A56="","",ROUND(SUM(G56:J56),2))</x:f>
        <x:v>466.61</x:v>
      </x:c>
      <x:c r="L56" s="80"/>
      <x:c r="M56" s="77"/>
      <x:c r="N56" s="29" t="str">
        <x:f>IF(A56="","",IF(L56&gt;=K56,"Paga",IF(L56&gt;0,"Paga parcialmente",IF(C56&lt;$A$5,"Vencida","Prevista"))))</x:f>
        <x:v>Prevista</x:v>
      </x:c>
      <x:c r="O56" s="29" t="n">
        <x:f>IF(A56="","",$A$5-C56)</x:f>
        <x:v>-345</x:v>
      </x:c>
      <x:c r="P56" s="131" t="n">
        <x:f>IF(A56="","",IF(AND(O56&gt;0,MAX(K56-L56,0)&gt;0,N56&lt;&gt;"Paga"),ROUND(MAX(K56-L56,0)*'Parâmetros'!$B$34,2),0))</x:f>
        <x:v>0</x:v>
      </x:c>
      <x:c r="Q56" s="131" t="n">
        <x:f>IF(A56="","",IF(AND(O56&gt;0,MAX(K56-L56,0)&gt;0,N56&lt;&gt;"Paga"),ROUND(MAX(K56-L56,0)*'Parâmetros'!$B$35*(O56/'Parâmetros'!$B$33),2),0))</x:f>
        <x:v>0</x:v>
      </x:c>
      <x:c r="R56" s="131" t="n">
        <x:f>IF(A56="","",IF(O56&gt;0,ROUND(MAX(K56-L56,0)+P56+Q56,2),0))</x:f>
        <x:v>0</x:v>
      </x:c>
      <x:c r="S56" s="131" t="n">
        <x:f>IF(A56="","",IF(OR(N56="Paga",O56&gt;0),0,ROUND(IF(K56=0,0,G56*MAX(K56-L56,0)/K56)/(1+'Parâmetros'!$C$13)^((C56-$A$5)/30),2)))</x:f>
        <x:v>66.67</x:v>
      </x:c>
      <x:c r="T56" s="131" t="n">
        <x:f>IF(A56="","",0)</x:f>
        <x:v>0</x:v>
      </x:c>
      <x:c r="U56" s="131" t="n">
        <x:f>IF(A56="","",0)</x:f>
        <x:v>0</x:v>
      </x:c>
      <x:c r="V56" s="131" t="n">
        <x:f>IF(A56="","",IF(N56="Paga",0,IF(O56&gt;0,R56,S56)))</x:f>
        <x:v>66.67</x:v>
      </x:c>
      <x:c r="W56" s="131" t="n">
        <x:f>IF(A56="","",ROUND(MAX(D56-F56,0),2))</x:f>
        <x:v>9375.8</x:v>
      </x:c>
      <x:c r="X56" s="131" t="n">
        <x:f>IF(A56="","",ROUND(SUM($G56:$G$407),2))</x:f>
        <x:v>12737.12</x:v>
      </x:c>
      <x:c r="Y56" s="131" t="n">
        <x:f>IF(A56="","",ROUND(MAX(X56-D56,0),2))</x:f>
        <x:v>3319.32</x:v>
      </x:c>
      <x:c r="Z56" s="131" t="n">
        <x:f>IF(A56="","",ROUND(SUM($V56:$V$407),2))</x:f>
        <x:v>8235.14</x:v>
      </x:c>
      <x:c r="AA56" s="131" t="n">
        <x:f>IF(A56="","",ROUND(SUM($K56:$K$407)-Z56,2))</x:f>
        <x:v>66887.87</x:v>
      </x:c>
      <x:c r="AB56" s="77"/>
      <x:c r="AC56" s="36" t="str">
        <x:f>IF(A56="","",IF(O56&gt;0,"Vencido: saldo da fatura + mora",IF(O56&lt;=0,"Vincendo: VP da parcela financeira; comissão/proteção futuras isentas","")))</x:f>
        <x:v>Vincendo: VP da parcela financeira; comissão/proteção futuras isentas</x:v>
      </x:c>
    </x:row>
    <x:row r="57">
      <x:c r="A57" s="129" t="n">
        <x:f>IF(ROW()-7&lt;=Contrato!$C$16,ROW()-7,"")</x:f>
        <x:v>50</x:v>
      </x:c>
      <x:c r="B57" s="129" t="n">
        <x:f>IF(A57="","",Contrato!$C$16)</x:f>
        <x:v>209</x:v>
      </x:c>
      <x:c r="C57" s="130" t="n">
        <x:f>IF(A57="","",IF(AB57&lt;&gt;"",AB57,IF(Contrato!$C$14="Mensal",EDATE(Contrato!$C$13,A57-1),Contrato!$C$13+(A57-1)*IF(Contrato!$C$14="Quinzenal",14,IF(Contrato!$C$14="Semanal",7,1)))))</x:f>
        <x:v>46612</x:v>
      </x:c>
      <x:c r="D57" s="131" t="n">
        <x:f>IF(A57="","",W56)</x:f>
        <x:v>9375.8</x:v>
      </x:c>
      <x:c r="E57" s="131" t="n">
        <x:f>IF(A57="","",ROUND(D57*Simulador!$I$18,2))</x:f>
        <x:v>36.95</x:v>
      </x:c>
      <x:c r="F57" s="131" t="n">
        <x:f>IF(A57="","",ROUND(MIN(D57,MAX(G57-E57,0)),2))</x:f>
        <x:v>42.17</x:v>
      </x:c>
      <x:c r="G57" s="131" t="n">
        <x:f>IF(A57="","",IF(A57&lt;Contrato!$C$16,Contrato!$C$27,Contrato!$C$28))</x:f>
        <x:v>79.12</x:v>
      </x:c>
      <x:c r="H57" s="131" t="n">
        <x:f>IF(A57="","",Contrato!$C$29)</x:f>
        <x:v>199.99</x:v>
      </x:c>
      <x:c r="I57" s="131" t="n">
        <x:f>IF(A57="","",Contrato!$C$30)</x:f>
        <x:v>187.5</x:v>
      </x:c>
      <x:c r="J57" s="131" t="n">
        <x:f>IF(A57="","",Contrato!$C$31)</x:f>
        <x:v>0</x:v>
      </x:c>
      <x:c r="K57" s="131" t="n">
        <x:f>IF(A57="","",ROUND(SUM(G57:J57),2))</x:f>
        <x:v>466.61</x:v>
      </x:c>
      <x:c r="L57" s="80"/>
      <x:c r="M57" s="77"/>
      <x:c r="N57" s="29" t="str">
        <x:f>IF(A57="","",IF(L57&gt;=K57,"Paga",IF(L57&gt;0,"Paga parcialmente",IF(C57&lt;$A$5,"Vencida","Prevista"))))</x:f>
        <x:v>Prevista</x:v>
      </x:c>
      <x:c r="O57" s="29" t="n">
        <x:f>IF(A57="","",$A$5-C57)</x:f>
        <x:v>-352</x:v>
      </x:c>
      <x:c r="P57" s="131" t="n">
        <x:f>IF(A57="","",IF(AND(O57&gt;0,MAX(K57-L57,0)&gt;0,N57&lt;&gt;"Paga"),ROUND(MAX(K57-L57,0)*'Parâmetros'!$B$34,2),0))</x:f>
        <x:v>0</x:v>
      </x:c>
      <x:c r="Q57" s="131" t="n">
        <x:f>IF(A57="","",IF(AND(O57&gt;0,MAX(K57-L57,0)&gt;0,N57&lt;&gt;"Paga"),ROUND(MAX(K57-L57,0)*'Parâmetros'!$B$35*(O57/'Parâmetros'!$B$33),2),0))</x:f>
        <x:v>0</x:v>
      </x:c>
      <x:c r="R57" s="131" t="n">
        <x:f>IF(A57="","",IF(O57&gt;0,ROUND(MAX(K57-L57,0)+P57+Q57,2),0))</x:f>
        <x:v>0</x:v>
      </x:c>
      <x:c r="S57" s="131" t="n">
        <x:f>IF(A57="","",IF(OR(N57="Paga",O57&gt;0),0,ROUND(IF(K57=0,0,G57*MAX(K57-L57,0)/K57)/(1+'Parâmetros'!$C$13)^((C57-$A$5)/30),2)))</x:f>
        <x:v>66.44</x:v>
      </x:c>
      <x:c r="T57" s="131" t="n">
        <x:f>IF(A57="","",0)</x:f>
        <x:v>0</x:v>
      </x:c>
      <x:c r="U57" s="131" t="n">
        <x:f>IF(A57="","",0)</x:f>
        <x:v>0</x:v>
      </x:c>
      <x:c r="V57" s="131" t="n">
        <x:f>IF(A57="","",IF(N57="Paga",0,IF(O57&gt;0,R57,S57)))</x:f>
        <x:v>66.44</x:v>
      </x:c>
      <x:c r="W57" s="131" t="n">
        <x:f>IF(A57="","",ROUND(MAX(D57-F57,0),2))</x:f>
        <x:v>9333.63</x:v>
      </x:c>
      <x:c r="X57" s="131" t="n">
        <x:f>IF(A57="","",ROUND(SUM($G57:$G$407),2))</x:f>
        <x:v>12658</x:v>
      </x:c>
      <x:c r="Y57" s="131" t="n">
        <x:f>IF(A57="","",ROUND(MAX(X57-D57,0),2))</x:f>
        <x:v>3282.2</x:v>
      </x:c>
      <x:c r="Z57" s="131" t="n">
        <x:f>IF(A57="","",ROUND(SUM($V57:$V$407),2))</x:f>
        <x:v>8168.47</x:v>
      </x:c>
      <x:c r="AA57" s="131" t="n">
        <x:f>IF(A57="","",ROUND(SUM($K57:$K$407)-Z57,2))</x:f>
        <x:v>66487.93</x:v>
      </x:c>
      <x:c r="AB57" s="77"/>
      <x:c r="AC57" s="36" t="str">
        <x:f>IF(A57="","",IF(O57&gt;0,"Vencido: saldo da fatura + mora",IF(O57&lt;=0,"Vincendo: VP da parcela financeira; comissão/proteção futuras isentas","")))</x:f>
        <x:v>Vincendo: VP da parcela financeira; comissão/proteção futuras isentas</x:v>
      </x:c>
    </x:row>
    <x:row r="58">
      <x:c r="A58" s="129" t="n">
        <x:f>IF(ROW()-7&lt;=Contrato!$C$16,ROW()-7,"")</x:f>
        <x:v>51</x:v>
      </x:c>
      <x:c r="B58" s="129" t="n">
        <x:f>IF(A58="","",Contrato!$C$16)</x:f>
        <x:v>209</x:v>
      </x:c>
      <x:c r="C58" s="130" t="n">
        <x:f>IF(A58="","",IF(AB58&lt;&gt;"",AB58,IF(Contrato!$C$14="Mensal",EDATE(Contrato!$C$13,A58-1),Contrato!$C$13+(A58-1)*IF(Contrato!$C$14="Quinzenal",14,IF(Contrato!$C$14="Semanal",7,1)))))</x:f>
        <x:v>46619</x:v>
      </x:c>
      <x:c r="D58" s="131" t="n">
        <x:f>IF(A58="","",W57)</x:f>
        <x:v>9333.63</x:v>
      </x:c>
      <x:c r="E58" s="131" t="n">
        <x:f>IF(A58="","",ROUND(D58*Simulador!$I$18,2))</x:f>
        <x:v>36.78</x:v>
      </x:c>
      <x:c r="F58" s="131" t="n">
        <x:f>IF(A58="","",ROUND(MIN(D58,MAX(G58-E58,0)),2))</x:f>
        <x:v>42.34</x:v>
      </x:c>
      <x:c r="G58" s="131" t="n">
        <x:f>IF(A58="","",IF(A58&lt;Contrato!$C$16,Contrato!$C$27,Contrato!$C$28))</x:f>
        <x:v>79.12</x:v>
      </x:c>
      <x:c r="H58" s="131" t="n">
        <x:f>IF(A58="","",Contrato!$C$29)</x:f>
        <x:v>199.99</x:v>
      </x:c>
      <x:c r="I58" s="131" t="n">
        <x:f>IF(A58="","",Contrato!$C$30)</x:f>
        <x:v>187.5</x:v>
      </x:c>
      <x:c r="J58" s="131" t="n">
        <x:f>IF(A58="","",Contrato!$C$31)</x:f>
        <x:v>0</x:v>
      </x:c>
      <x:c r="K58" s="131" t="n">
        <x:f>IF(A58="","",ROUND(SUM(G58:J58),2))</x:f>
        <x:v>466.61</x:v>
      </x:c>
      <x:c r="L58" s="80"/>
      <x:c r="M58" s="77"/>
      <x:c r="N58" s="29" t="str">
        <x:f>IF(A58="","",IF(L58&gt;=K58,"Paga",IF(L58&gt;0,"Paga parcialmente",IF(C58&lt;$A$5,"Vencida","Prevista"))))</x:f>
        <x:v>Prevista</x:v>
      </x:c>
      <x:c r="O58" s="29" t="n">
        <x:f>IF(A58="","",$A$5-C58)</x:f>
        <x:v>-359</x:v>
      </x:c>
      <x:c r="P58" s="131" t="n">
        <x:f>IF(A58="","",IF(AND(O58&gt;0,MAX(K58-L58,0)&gt;0,N58&lt;&gt;"Paga"),ROUND(MAX(K58-L58,0)*'Parâmetros'!$B$34,2),0))</x:f>
        <x:v>0</x:v>
      </x:c>
      <x:c r="Q58" s="131" t="n">
        <x:f>IF(A58="","",IF(AND(O58&gt;0,MAX(K58-L58,0)&gt;0,N58&lt;&gt;"Paga"),ROUND(MAX(K58-L58,0)*'Parâmetros'!$B$35*(O58/'Parâmetros'!$B$33),2),0))</x:f>
        <x:v>0</x:v>
      </x:c>
      <x:c r="R58" s="131" t="n">
        <x:f>IF(A58="","",IF(O58&gt;0,ROUND(MAX(K58-L58,0)+P58+Q58,2),0))</x:f>
        <x:v>0</x:v>
      </x:c>
      <x:c r="S58" s="131" t="n">
        <x:f>IF(A58="","",IF(OR(N58="Paga",O58&gt;0),0,ROUND(IF(K58=0,0,G58*MAX(K58-L58,0)/K58)/(1+'Parâmetros'!$C$13)^((C58-$A$5)/30),2)))</x:f>
        <x:v>66.21</x:v>
      </x:c>
      <x:c r="T58" s="131" t="n">
        <x:f>IF(A58="","",0)</x:f>
        <x:v>0</x:v>
      </x:c>
      <x:c r="U58" s="131" t="n">
        <x:f>IF(A58="","",0)</x:f>
        <x:v>0</x:v>
      </x:c>
      <x:c r="V58" s="131" t="n">
        <x:f>IF(A58="","",IF(N58="Paga",0,IF(O58&gt;0,R58,S58)))</x:f>
        <x:v>66.21</x:v>
      </x:c>
      <x:c r="W58" s="131" t="n">
        <x:f>IF(A58="","",ROUND(MAX(D58-F58,0),2))</x:f>
        <x:v>9291.29</x:v>
      </x:c>
      <x:c r="X58" s="131" t="n">
        <x:f>IF(A58="","",ROUND(SUM($G58:$G$407),2))</x:f>
        <x:v>12578.88</x:v>
      </x:c>
      <x:c r="Y58" s="131" t="n">
        <x:f>IF(A58="","",ROUND(MAX(X58-D58,0),2))</x:f>
        <x:v>3245.25</x:v>
      </x:c>
      <x:c r="Z58" s="131" t="n">
        <x:f>IF(A58="","",ROUND(SUM($V58:$V$407),2))</x:f>
        <x:v>8102.03</x:v>
      </x:c>
      <x:c r="AA58" s="131" t="n">
        <x:f>IF(A58="","",ROUND(SUM($K58:$K$407)-Z58,2))</x:f>
        <x:v>66087.76</x:v>
      </x:c>
      <x:c r="AB58" s="77"/>
      <x:c r="AC58" s="36" t="str">
        <x:f>IF(A58="","",IF(O58&gt;0,"Vencido: saldo da fatura + mora",IF(O58&lt;=0,"Vincendo: VP da parcela financeira; comissão/proteção futuras isentas","")))</x:f>
        <x:v>Vincendo: VP da parcela financeira; comissão/proteção futuras isentas</x:v>
      </x:c>
    </x:row>
    <x:row r="59">
      <x:c r="A59" s="129" t="n">
        <x:f>IF(ROW()-7&lt;=Contrato!$C$16,ROW()-7,"")</x:f>
        <x:v>52</x:v>
      </x:c>
      <x:c r="B59" s="129" t="n">
        <x:f>IF(A59="","",Contrato!$C$16)</x:f>
        <x:v>209</x:v>
      </x:c>
      <x:c r="C59" s="130" t="n">
        <x:f>IF(A59="","",IF(AB59&lt;&gt;"",AB59,IF(Contrato!$C$14="Mensal",EDATE(Contrato!$C$13,A59-1),Contrato!$C$13+(A59-1)*IF(Contrato!$C$14="Quinzenal",14,IF(Contrato!$C$14="Semanal",7,1)))))</x:f>
        <x:v>46626</x:v>
      </x:c>
      <x:c r="D59" s="131" t="n">
        <x:f>IF(A59="","",W58)</x:f>
        <x:v>9291.29</x:v>
      </x:c>
      <x:c r="E59" s="131" t="n">
        <x:f>IF(A59="","",ROUND(D59*Simulador!$I$18,2))</x:f>
        <x:v>36.62</x:v>
      </x:c>
      <x:c r="F59" s="131" t="n">
        <x:f>IF(A59="","",ROUND(MIN(D59,MAX(G59-E59,0)),2))</x:f>
        <x:v>42.5</x:v>
      </x:c>
      <x:c r="G59" s="131" t="n">
        <x:f>IF(A59="","",IF(A59&lt;Contrato!$C$16,Contrato!$C$27,Contrato!$C$28))</x:f>
        <x:v>79.12</x:v>
      </x:c>
      <x:c r="H59" s="131" t="n">
        <x:f>IF(A59="","",Contrato!$C$29)</x:f>
        <x:v>199.99</x:v>
      </x:c>
      <x:c r="I59" s="131" t="n">
        <x:f>IF(A59="","",Contrato!$C$30)</x:f>
        <x:v>187.5</x:v>
      </x:c>
      <x:c r="J59" s="131" t="n">
        <x:f>IF(A59="","",Contrato!$C$31)</x:f>
        <x:v>0</x:v>
      </x:c>
      <x:c r="K59" s="131" t="n">
        <x:f>IF(A59="","",ROUND(SUM(G59:J59),2))</x:f>
        <x:v>466.61</x:v>
      </x:c>
      <x:c r="L59" s="80"/>
      <x:c r="M59" s="77"/>
      <x:c r="N59" s="29" t="str">
        <x:f>IF(A59="","",IF(L59&gt;=K59,"Paga",IF(L59&gt;0,"Paga parcialmente",IF(C59&lt;$A$5,"Vencida","Prevista"))))</x:f>
        <x:v>Prevista</x:v>
      </x:c>
      <x:c r="O59" s="29" t="n">
        <x:f>IF(A59="","",$A$5-C59)</x:f>
        <x:v>-366</x:v>
      </x:c>
      <x:c r="P59" s="131" t="n">
        <x:f>IF(A59="","",IF(AND(O59&gt;0,MAX(K59-L59,0)&gt;0,N59&lt;&gt;"Paga"),ROUND(MAX(K59-L59,0)*'Parâmetros'!$B$34,2),0))</x:f>
        <x:v>0</x:v>
      </x:c>
      <x:c r="Q59" s="131" t="n">
        <x:f>IF(A59="","",IF(AND(O59&gt;0,MAX(K59-L59,0)&gt;0,N59&lt;&gt;"Paga"),ROUND(MAX(K59-L59,0)*'Parâmetros'!$B$35*(O59/'Parâmetros'!$B$33),2),0))</x:f>
        <x:v>0</x:v>
      </x:c>
      <x:c r="R59" s="131" t="n">
        <x:f>IF(A59="","",IF(O59&gt;0,ROUND(MAX(K59-L59,0)+P59+Q59,2),0))</x:f>
        <x:v>0</x:v>
      </x:c>
      <x:c r="S59" s="131" t="n">
        <x:f>IF(A59="","",IF(OR(N59="Paga",O59&gt;0),0,ROUND(IF(K59=0,0,G59*MAX(K59-L59,0)/K59)/(1+'Parâmetros'!$C$13)^((C59-$A$5)/30),2)))</x:f>
        <x:v>65.98</x:v>
      </x:c>
      <x:c r="T59" s="131" t="n">
        <x:f>IF(A59="","",0)</x:f>
        <x:v>0</x:v>
      </x:c>
      <x:c r="U59" s="131" t="n">
        <x:f>IF(A59="","",0)</x:f>
        <x:v>0</x:v>
      </x:c>
      <x:c r="V59" s="131" t="n">
        <x:f>IF(A59="","",IF(N59="Paga",0,IF(O59&gt;0,R59,S59)))</x:f>
        <x:v>65.98</x:v>
      </x:c>
      <x:c r="W59" s="131" t="n">
        <x:f>IF(A59="","",ROUND(MAX(D59-F59,0),2))</x:f>
        <x:v>9248.79</x:v>
      </x:c>
      <x:c r="X59" s="131" t="n">
        <x:f>IF(A59="","",ROUND(SUM($G59:$G$407),2))</x:f>
        <x:v>12499.76</x:v>
      </x:c>
      <x:c r="Y59" s="131" t="n">
        <x:f>IF(A59="","",ROUND(MAX(X59-D59,0),2))</x:f>
        <x:v>3208.47</x:v>
      </x:c>
      <x:c r="Z59" s="131" t="n">
        <x:f>IF(A59="","",ROUND(SUM($V59:$V$407),2))</x:f>
        <x:v>8035.82</x:v>
      </x:c>
      <x:c r="AA59" s="131" t="n">
        <x:f>IF(A59="","",ROUND(SUM($K59:$K$407)-Z59,2))</x:f>
        <x:v>65687.36</x:v>
      </x:c>
      <x:c r="AB59" s="77"/>
      <x:c r="AC59" s="36" t="str">
        <x:f>IF(A59="","",IF(O59&gt;0,"Vencido: saldo da fatura + mora",IF(O59&lt;=0,"Vincendo: VP da parcela financeira; comissão/proteção futuras isentas","")))</x:f>
        <x:v>Vincendo: VP da parcela financeira; comissão/proteção futuras isentas</x:v>
      </x:c>
    </x:row>
    <x:row r="60">
      <x:c r="A60" s="129" t="n">
        <x:f>IF(ROW()-7&lt;=Contrato!$C$16,ROW()-7,"")</x:f>
        <x:v>53</x:v>
      </x:c>
      <x:c r="B60" s="129" t="n">
        <x:f>IF(A60="","",Contrato!$C$16)</x:f>
        <x:v>209</x:v>
      </x:c>
      <x:c r="C60" s="130" t="n">
        <x:f>IF(A60="","",IF(AB60&lt;&gt;"",AB60,IF(Contrato!$C$14="Mensal",EDATE(Contrato!$C$13,A60-1),Contrato!$C$13+(A60-1)*IF(Contrato!$C$14="Quinzenal",14,IF(Contrato!$C$14="Semanal",7,1)))))</x:f>
        <x:v>46633</x:v>
      </x:c>
      <x:c r="D60" s="131" t="n">
        <x:f>IF(A60="","",W59)</x:f>
        <x:v>9248.79</x:v>
      </x:c>
      <x:c r="E60" s="131" t="n">
        <x:f>IF(A60="","",ROUND(D60*Simulador!$I$18,2))</x:f>
        <x:v>36.45</x:v>
      </x:c>
      <x:c r="F60" s="131" t="n">
        <x:f>IF(A60="","",ROUND(MIN(D60,MAX(G60-E60,0)),2))</x:f>
        <x:v>42.67</x:v>
      </x:c>
      <x:c r="G60" s="131" t="n">
        <x:f>IF(A60="","",IF(A60&lt;Contrato!$C$16,Contrato!$C$27,Contrato!$C$28))</x:f>
        <x:v>79.12</x:v>
      </x:c>
      <x:c r="H60" s="131" t="n">
        <x:f>IF(A60="","",Contrato!$C$29)</x:f>
        <x:v>199.99</x:v>
      </x:c>
      <x:c r="I60" s="131" t="n">
        <x:f>IF(A60="","",Contrato!$C$30)</x:f>
        <x:v>187.5</x:v>
      </x:c>
      <x:c r="J60" s="131" t="n">
        <x:f>IF(A60="","",Contrato!$C$31)</x:f>
        <x:v>0</x:v>
      </x:c>
      <x:c r="K60" s="131" t="n">
        <x:f>IF(A60="","",ROUND(SUM(G60:J60),2))</x:f>
        <x:v>466.61</x:v>
      </x:c>
      <x:c r="L60" s="80"/>
      <x:c r="M60" s="77"/>
      <x:c r="N60" s="29" t="str">
        <x:f>IF(A60="","",IF(L60&gt;=K60,"Paga",IF(L60&gt;0,"Paga parcialmente",IF(C60&lt;$A$5,"Vencida","Prevista"))))</x:f>
        <x:v>Prevista</x:v>
      </x:c>
      <x:c r="O60" s="29" t="n">
        <x:f>IF(A60="","",$A$5-C60)</x:f>
        <x:v>-373</x:v>
      </x:c>
      <x:c r="P60" s="131" t="n">
        <x:f>IF(A60="","",IF(AND(O60&gt;0,MAX(K60-L60,0)&gt;0,N60&lt;&gt;"Paga"),ROUND(MAX(K60-L60,0)*'Parâmetros'!$B$34,2),0))</x:f>
        <x:v>0</x:v>
      </x:c>
      <x:c r="Q60" s="131" t="n">
        <x:f>IF(A60="","",IF(AND(O60&gt;0,MAX(K60-L60,0)&gt;0,N60&lt;&gt;"Paga"),ROUND(MAX(K60-L60,0)*'Parâmetros'!$B$35*(O60/'Parâmetros'!$B$33),2),0))</x:f>
        <x:v>0</x:v>
      </x:c>
      <x:c r="R60" s="131" t="n">
        <x:f>IF(A60="","",IF(O60&gt;0,ROUND(MAX(K60-L60,0)+P60+Q60,2),0))</x:f>
        <x:v>0</x:v>
      </x:c>
      <x:c r="S60" s="131" t="n">
        <x:f>IF(A60="","",IF(OR(N60="Paga",O60&gt;0),0,ROUND(IF(K60=0,0,G60*MAX(K60-L60,0)/K60)/(1+'Parâmetros'!$C$13)^((C60-$A$5)/30),2)))</x:f>
        <x:v>65.75</x:v>
      </x:c>
      <x:c r="T60" s="131" t="n">
        <x:f>IF(A60="","",0)</x:f>
        <x:v>0</x:v>
      </x:c>
      <x:c r="U60" s="131" t="n">
        <x:f>IF(A60="","",0)</x:f>
        <x:v>0</x:v>
      </x:c>
      <x:c r="V60" s="131" t="n">
        <x:f>IF(A60="","",IF(N60="Paga",0,IF(O60&gt;0,R60,S60)))</x:f>
        <x:v>65.75</x:v>
      </x:c>
      <x:c r="W60" s="131" t="n">
        <x:f>IF(A60="","",ROUND(MAX(D60-F60,0),2))</x:f>
        <x:v>9206.12</x:v>
      </x:c>
      <x:c r="X60" s="131" t="n">
        <x:f>IF(A60="","",ROUND(SUM($G60:$G$407),2))</x:f>
        <x:v>12420.64</x:v>
      </x:c>
      <x:c r="Y60" s="131" t="n">
        <x:f>IF(A60="","",ROUND(MAX(X60-D60,0),2))</x:f>
        <x:v>3171.85</x:v>
      </x:c>
      <x:c r="Z60" s="131" t="n">
        <x:f>IF(A60="","",ROUND(SUM($V60:$V$407),2))</x:f>
        <x:v>7969.84</x:v>
      </x:c>
      <x:c r="AA60" s="131" t="n">
        <x:f>IF(A60="","",ROUND(SUM($K60:$K$407)-Z60,2))</x:f>
        <x:v>65286.73</x:v>
      </x:c>
      <x:c r="AB60" s="77"/>
      <x:c r="AC60" s="36" t="str">
        <x:f>IF(A60="","",IF(O60&gt;0,"Vencido: saldo da fatura + mora",IF(O60&lt;=0,"Vincendo: VP da parcela financeira; comissão/proteção futuras isentas","")))</x:f>
        <x:v>Vincendo: VP da parcela financeira; comissão/proteção futuras isentas</x:v>
      </x:c>
    </x:row>
    <x:row r="61">
      <x:c r="A61" s="129" t="n">
        <x:f>IF(ROW()-7&lt;=Contrato!$C$16,ROW()-7,"")</x:f>
        <x:v>54</x:v>
      </x:c>
      <x:c r="B61" s="129" t="n">
        <x:f>IF(A61="","",Contrato!$C$16)</x:f>
        <x:v>209</x:v>
      </x:c>
      <x:c r="C61" s="130" t="n">
        <x:f>IF(A61="","",IF(AB61&lt;&gt;"",AB61,IF(Contrato!$C$14="Mensal",EDATE(Contrato!$C$13,A61-1),Contrato!$C$13+(A61-1)*IF(Contrato!$C$14="Quinzenal",14,IF(Contrato!$C$14="Semanal",7,1)))))</x:f>
        <x:v>46640</x:v>
      </x:c>
      <x:c r="D61" s="131" t="n">
        <x:f>IF(A61="","",W60)</x:f>
        <x:v>9206.12</x:v>
      </x:c>
      <x:c r="E61" s="131" t="n">
        <x:f>IF(A61="","",ROUND(D61*Simulador!$I$18,2))</x:f>
        <x:v>36.28</x:v>
      </x:c>
      <x:c r="F61" s="131" t="n">
        <x:f>IF(A61="","",ROUND(MIN(D61,MAX(G61-E61,0)),2))</x:f>
        <x:v>42.84</x:v>
      </x:c>
      <x:c r="G61" s="131" t="n">
        <x:f>IF(A61="","",IF(A61&lt;Contrato!$C$16,Contrato!$C$27,Contrato!$C$28))</x:f>
        <x:v>79.12</x:v>
      </x:c>
      <x:c r="H61" s="131" t="n">
        <x:f>IF(A61="","",Contrato!$C$29)</x:f>
        <x:v>199.99</x:v>
      </x:c>
      <x:c r="I61" s="131" t="n">
        <x:f>IF(A61="","",Contrato!$C$30)</x:f>
        <x:v>187.5</x:v>
      </x:c>
      <x:c r="J61" s="131" t="n">
        <x:f>IF(A61="","",Contrato!$C$31)</x:f>
        <x:v>0</x:v>
      </x:c>
      <x:c r="K61" s="131" t="n">
        <x:f>IF(A61="","",ROUND(SUM(G61:J61),2))</x:f>
        <x:v>466.61</x:v>
      </x:c>
      <x:c r="L61" s="80"/>
      <x:c r="M61" s="77"/>
      <x:c r="N61" s="29" t="str">
        <x:f>IF(A61="","",IF(L61&gt;=K61,"Paga",IF(L61&gt;0,"Paga parcialmente",IF(C61&lt;$A$5,"Vencida","Prevista"))))</x:f>
        <x:v>Prevista</x:v>
      </x:c>
      <x:c r="O61" s="29" t="n">
        <x:f>IF(A61="","",$A$5-C61)</x:f>
        <x:v>-380</x:v>
      </x:c>
      <x:c r="P61" s="131" t="n">
        <x:f>IF(A61="","",IF(AND(O61&gt;0,MAX(K61-L61,0)&gt;0,N61&lt;&gt;"Paga"),ROUND(MAX(K61-L61,0)*'Parâmetros'!$B$34,2),0))</x:f>
        <x:v>0</x:v>
      </x:c>
      <x:c r="Q61" s="131" t="n">
        <x:f>IF(A61="","",IF(AND(O61&gt;0,MAX(K61-L61,0)&gt;0,N61&lt;&gt;"Paga"),ROUND(MAX(K61-L61,0)*'Parâmetros'!$B$35*(O61/'Parâmetros'!$B$33),2),0))</x:f>
        <x:v>0</x:v>
      </x:c>
      <x:c r="R61" s="131" t="n">
        <x:f>IF(A61="","",IF(O61&gt;0,ROUND(MAX(K61-L61,0)+P61+Q61,2),0))</x:f>
        <x:v>0</x:v>
      </x:c>
      <x:c r="S61" s="131" t="n">
        <x:f>IF(A61="","",IF(OR(N61="Paga",O61&gt;0),0,ROUND(IF(K61=0,0,G61*MAX(K61-L61,0)/K61)/(1+'Parâmetros'!$C$13)^((C61-$A$5)/30),2)))</x:f>
        <x:v>65.52</x:v>
      </x:c>
      <x:c r="T61" s="131" t="n">
        <x:f>IF(A61="","",0)</x:f>
        <x:v>0</x:v>
      </x:c>
      <x:c r="U61" s="131" t="n">
        <x:f>IF(A61="","",0)</x:f>
        <x:v>0</x:v>
      </x:c>
      <x:c r="V61" s="131" t="n">
        <x:f>IF(A61="","",IF(N61="Paga",0,IF(O61&gt;0,R61,S61)))</x:f>
        <x:v>65.52</x:v>
      </x:c>
      <x:c r="W61" s="131" t="n">
        <x:f>IF(A61="","",ROUND(MAX(D61-F61,0),2))</x:f>
        <x:v>9163.28</x:v>
      </x:c>
      <x:c r="X61" s="131" t="n">
        <x:f>IF(A61="","",ROUND(SUM($G61:$G$407),2))</x:f>
        <x:v>12341.52</x:v>
      </x:c>
      <x:c r="Y61" s="131" t="n">
        <x:f>IF(A61="","",ROUND(MAX(X61-D61,0),2))</x:f>
        <x:v>3135.4</x:v>
      </x:c>
      <x:c r="Z61" s="131" t="n">
        <x:f>IF(A61="","",ROUND(SUM($V61:$V$407),2))</x:f>
        <x:v>7904.09</x:v>
      </x:c>
      <x:c r="AA61" s="131" t="n">
        <x:f>IF(A61="","",ROUND(SUM($K61:$K$407)-Z61,2))</x:f>
        <x:v>64885.87</x:v>
      </x:c>
      <x:c r="AB61" s="77"/>
      <x:c r="AC61" s="36" t="str">
        <x:f>IF(A61="","",IF(O61&gt;0,"Vencido: saldo da fatura + mora",IF(O61&lt;=0,"Vincendo: VP da parcela financeira; comissão/proteção futuras isentas","")))</x:f>
        <x:v>Vincendo: VP da parcela financeira; comissão/proteção futuras isentas</x:v>
      </x:c>
    </x:row>
    <x:row r="62">
      <x:c r="A62" s="129" t="n">
        <x:f>IF(ROW()-7&lt;=Contrato!$C$16,ROW()-7,"")</x:f>
        <x:v>55</x:v>
      </x:c>
      <x:c r="B62" s="129" t="n">
        <x:f>IF(A62="","",Contrato!$C$16)</x:f>
        <x:v>209</x:v>
      </x:c>
      <x:c r="C62" s="130" t="n">
        <x:f>IF(A62="","",IF(AB62&lt;&gt;"",AB62,IF(Contrato!$C$14="Mensal",EDATE(Contrato!$C$13,A62-1),Contrato!$C$13+(A62-1)*IF(Contrato!$C$14="Quinzenal",14,IF(Contrato!$C$14="Semanal",7,1)))))</x:f>
        <x:v>46647</x:v>
      </x:c>
      <x:c r="D62" s="131" t="n">
        <x:f>IF(A62="","",W61)</x:f>
        <x:v>9163.28</x:v>
      </x:c>
      <x:c r="E62" s="131" t="n">
        <x:f>IF(A62="","",ROUND(D62*Simulador!$I$18,2))</x:f>
        <x:v>36.11</x:v>
      </x:c>
      <x:c r="F62" s="131" t="n">
        <x:f>IF(A62="","",ROUND(MIN(D62,MAX(G62-E62,0)),2))</x:f>
        <x:v>43.01</x:v>
      </x:c>
      <x:c r="G62" s="131" t="n">
        <x:f>IF(A62="","",IF(A62&lt;Contrato!$C$16,Contrato!$C$27,Contrato!$C$28))</x:f>
        <x:v>79.12</x:v>
      </x:c>
      <x:c r="H62" s="131" t="n">
        <x:f>IF(A62="","",Contrato!$C$29)</x:f>
        <x:v>199.99</x:v>
      </x:c>
      <x:c r="I62" s="131" t="n">
        <x:f>IF(A62="","",Contrato!$C$30)</x:f>
        <x:v>187.5</x:v>
      </x:c>
      <x:c r="J62" s="131" t="n">
        <x:f>IF(A62="","",Contrato!$C$31)</x:f>
        <x:v>0</x:v>
      </x:c>
      <x:c r="K62" s="131" t="n">
        <x:f>IF(A62="","",ROUND(SUM(G62:J62),2))</x:f>
        <x:v>466.61</x:v>
      </x:c>
      <x:c r="L62" s="80"/>
      <x:c r="M62" s="77"/>
      <x:c r="N62" s="29" t="str">
        <x:f>IF(A62="","",IF(L62&gt;=K62,"Paga",IF(L62&gt;0,"Paga parcialmente",IF(C62&lt;$A$5,"Vencida","Prevista"))))</x:f>
        <x:v>Prevista</x:v>
      </x:c>
      <x:c r="O62" s="29" t="n">
        <x:f>IF(A62="","",$A$5-C62)</x:f>
        <x:v>-387</x:v>
      </x:c>
      <x:c r="P62" s="131" t="n">
        <x:f>IF(A62="","",IF(AND(O62&gt;0,MAX(K62-L62,0)&gt;0,N62&lt;&gt;"Paga"),ROUND(MAX(K62-L62,0)*'Parâmetros'!$B$34,2),0))</x:f>
        <x:v>0</x:v>
      </x:c>
      <x:c r="Q62" s="131" t="n">
        <x:f>IF(A62="","",IF(AND(O62&gt;0,MAX(K62-L62,0)&gt;0,N62&lt;&gt;"Paga"),ROUND(MAX(K62-L62,0)*'Parâmetros'!$B$35*(O62/'Parâmetros'!$B$33),2),0))</x:f>
        <x:v>0</x:v>
      </x:c>
      <x:c r="R62" s="131" t="n">
        <x:f>IF(A62="","",IF(O62&gt;0,ROUND(MAX(K62-L62,0)+P62+Q62,2),0))</x:f>
        <x:v>0</x:v>
      </x:c>
      <x:c r="S62" s="131" t="n">
        <x:f>IF(A62="","",IF(OR(N62="Paga",O62&gt;0),0,ROUND(IF(K62=0,0,G62*MAX(K62-L62,0)/K62)/(1+'Parâmetros'!$C$13)^((C62-$A$5)/30),2)))</x:f>
        <x:v>65.29</x:v>
      </x:c>
      <x:c r="T62" s="131" t="n">
        <x:f>IF(A62="","",0)</x:f>
        <x:v>0</x:v>
      </x:c>
      <x:c r="U62" s="131" t="n">
        <x:f>IF(A62="","",0)</x:f>
        <x:v>0</x:v>
      </x:c>
      <x:c r="V62" s="131" t="n">
        <x:f>IF(A62="","",IF(N62="Paga",0,IF(O62&gt;0,R62,S62)))</x:f>
        <x:v>65.29</x:v>
      </x:c>
      <x:c r="W62" s="131" t="n">
        <x:f>IF(A62="","",ROUND(MAX(D62-F62,0),2))</x:f>
        <x:v>9120.27</x:v>
      </x:c>
      <x:c r="X62" s="131" t="n">
        <x:f>IF(A62="","",ROUND(SUM($G62:$G$407),2))</x:f>
        <x:v>12262.4</x:v>
      </x:c>
      <x:c r="Y62" s="131" t="n">
        <x:f>IF(A62="","",ROUND(MAX(X62-D62,0),2))</x:f>
        <x:v>3099.12</x:v>
      </x:c>
      <x:c r="Z62" s="131" t="n">
        <x:f>IF(A62="","",ROUND(SUM($V62:$V$407),2))</x:f>
        <x:v>7838.57</x:v>
      </x:c>
      <x:c r="AA62" s="131" t="n">
        <x:f>IF(A62="","",ROUND(SUM($K62:$K$407)-Z62,2))</x:f>
        <x:v>64484.78</x:v>
      </x:c>
      <x:c r="AB62" s="77"/>
      <x:c r="AC62" s="36" t="str">
        <x:f>IF(A62="","",IF(O62&gt;0,"Vencido: saldo da fatura + mora",IF(O62&lt;=0,"Vincendo: VP da parcela financeira; comissão/proteção futuras isentas","")))</x:f>
        <x:v>Vincendo: VP da parcela financeira; comissão/proteção futuras isentas</x:v>
      </x:c>
    </x:row>
    <x:row r="63">
      <x:c r="A63" s="129" t="n">
        <x:f>IF(ROW()-7&lt;=Contrato!$C$16,ROW()-7,"")</x:f>
        <x:v>56</x:v>
      </x:c>
      <x:c r="B63" s="129" t="n">
        <x:f>IF(A63="","",Contrato!$C$16)</x:f>
        <x:v>209</x:v>
      </x:c>
      <x:c r="C63" s="130" t="n">
        <x:f>IF(A63="","",IF(AB63&lt;&gt;"",AB63,IF(Contrato!$C$14="Mensal",EDATE(Contrato!$C$13,A63-1),Contrato!$C$13+(A63-1)*IF(Contrato!$C$14="Quinzenal",14,IF(Contrato!$C$14="Semanal",7,1)))))</x:f>
        <x:v>46654</x:v>
      </x:c>
      <x:c r="D63" s="131" t="n">
        <x:f>IF(A63="","",W62)</x:f>
        <x:v>9120.27</x:v>
      </x:c>
      <x:c r="E63" s="131" t="n">
        <x:f>IF(A63="","",ROUND(D63*Simulador!$I$18,2))</x:f>
        <x:v>35.94</x:v>
      </x:c>
      <x:c r="F63" s="131" t="n">
        <x:f>IF(A63="","",ROUND(MIN(D63,MAX(G63-E63,0)),2))</x:f>
        <x:v>43.18</x:v>
      </x:c>
      <x:c r="G63" s="131" t="n">
        <x:f>IF(A63="","",IF(A63&lt;Contrato!$C$16,Contrato!$C$27,Contrato!$C$28))</x:f>
        <x:v>79.12</x:v>
      </x:c>
      <x:c r="H63" s="131" t="n">
        <x:f>IF(A63="","",Contrato!$C$29)</x:f>
        <x:v>199.99</x:v>
      </x:c>
      <x:c r="I63" s="131" t="n">
        <x:f>IF(A63="","",Contrato!$C$30)</x:f>
        <x:v>187.5</x:v>
      </x:c>
      <x:c r="J63" s="131" t="n">
        <x:f>IF(A63="","",Contrato!$C$31)</x:f>
        <x:v>0</x:v>
      </x:c>
      <x:c r="K63" s="131" t="n">
        <x:f>IF(A63="","",ROUND(SUM(G63:J63),2))</x:f>
        <x:v>466.61</x:v>
      </x:c>
      <x:c r="L63" s="80"/>
      <x:c r="M63" s="77"/>
      <x:c r="N63" s="29" t="str">
        <x:f>IF(A63="","",IF(L63&gt;=K63,"Paga",IF(L63&gt;0,"Paga parcialmente",IF(C63&lt;$A$5,"Vencida","Prevista"))))</x:f>
        <x:v>Prevista</x:v>
      </x:c>
      <x:c r="O63" s="29" t="n">
        <x:f>IF(A63="","",$A$5-C63)</x:f>
        <x:v>-394</x:v>
      </x:c>
      <x:c r="P63" s="131" t="n">
        <x:f>IF(A63="","",IF(AND(O63&gt;0,MAX(K63-L63,0)&gt;0,N63&lt;&gt;"Paga"),ROUND(MAX(K63-L63,0)*'Parâmetros'!$B$34,2),0))</x:f>
        <x:v>0</x:v>
      </x:c>
      <x:c r="Q63" s="131" t="n">
        <x:f>IF(A63="","",IF(AND(O63&gt;0,MAX(K63-L63,0)&gt;0,N63&lt;&gt;"Paga"),ROUND(MAX(K63-L63,0)*'Parâmetros'!$B$35*(O63/'Parâmetros'!$B$33),2),0))</x:f>
        <x:v>0</x:v>
      </x:c>
      <x:c r="R63" s="131" t="n">
        <x:f>IF(A63="","",IF(O63&gt;0,ROUND(MAX(K63-L63,0)+P63+Q63,2),0))</x:f>
        <x:v>0</x:v>
      </x:c>
      <x:c r="S63" s="131" t="n">
        <x:f>IF(A63="","",IF(OR(N63="Paga",O63&gt;0),0,ROUND(IF(K63=0,0,G63*MAX(K63-L63,0)/K63)/(1+'Parâmetros'!$C$13)^((C63-$A$5)/30),2)))</x:f>
        <x:v>65.07</x:v>
      </x:c>
      <x:c r="T63" s="131" t="n">
        <x:f>IF(A63="","",0)</x:f>
        <x:v>0</x:v>
      </x:c>
      <x:c r="U63" s="131" t="n">
        <x:f>IF(A63="","",0)</x:f>
        <x:v>0</x:v>
      </x:c>
      <x:c r="V63" s="131" t="n">
        <x:f>IF(A63="","",IF(N63="Paga",0,IF(O63&gt;0,R63,S63)))</x:f>
        <x:v>65.07</x:v>
      </x:c>
      <x:c r="W63" s="131" t="n">
        <x:f>IF(A63="","",ROUND(MAX(D63-F63,0),2))</x:f>
        <x:v>9077.09</x:v>
      </x:c>
      <x:c r="X63" s="131" t="n">
        <x:f>IF(A63="","",ROUND(SUM($G63:$G$407),2))</x:f>
        <x:v>12183.28</x:v>
      </x:c>
      <x:c r="Y63" s="131" t="n">
        <x:f>IF(A63="","",ROUND(MAX(X63-D63,0),2))</x:f>
        <x:v>3063.01</x:v>
      </x:c>
      <x:c r="Z63" s="131" t="n">
        <x:f>IF(A63="","",ROUND(SUM($V63:$V$407),2))</x:f>
        <x:v>7773.28</x:v>
      </x:c>
      <x:c r="AA63" s="131" t="n">
        <x:f>IF(A63="","",ROUND(SUM($K63:$K$407)-Z63,2))</x:f>
        <x:v>64083.46</x:v>
      </x:c>
      <x:c r="AB63" s="77"/>
      <x:c r="AC63" s="36" t="str">
        <x:f>IF(A63="","",IF(O63&gt;0,"Vencido: saldo da fatura + mora",IF(O63&lt;=0,"Vincendo: VP da parcela financeira; comissão/proteção futuras isentas","")))</x:f>
        <x:v>Vincendo: VP da parcela financeira; comissão/proteção futuras isentas</x:v>
      </x:c>
    </x:row>
    <x:row r="64">
      <x:c r="A64" s="129" t="n">
        <x:f>IF(ROW()-7&lt;=Contrato!$C$16,ROW()-7,"")</x:f>
        <x:v>57</x:v>
      </x:c>
      <x:c r="B64" s="129" t="n">
        <x:f>IF(A64="","",Contrato!$C$16)</x:f>
        <x:v>209</x:v>
      </x:c>
      <x:c r="C64" s="130" t="n">
        <x:f>IF(A64="","",IF(AB64&lt;&gt;"",AB64,IF(Contrato!$C$14="Mensal",EDATE(Contrato!$C$13,A64-1),Contrato!$C$13+(A64-1)*IF(Contrato!$C$14="Quinzenal",14,IF(Contrato!$C$14="Semanal",7,1)))))</x:f>
        <x:v>46661</x:v>
      </x:c>
      <x:c r="D64" s="131" t="n">
        <x:f>IF(A64="","",W63)</x:f>
        <x:v>9077.09</x:v>
      </x:c>
      <x:c r="E64" s="131" t="n">
        <x:f>IF(A64="","",ROUND(D64*Simulador!$I$18,2))</x:f>
        <x:v>35.77</x:v>
      </x:c>
      <x:c r="F64" s="131" t="n">
        <x:f>IF(A64="","",ROUND(MIN(D64,MAX(G64-E64,0)),2))</x:f>
        <x:v>43.35</x:v>
      </x:c>
      <x:c r="G64" s="131" t="n">
        <x:f>IF(A64="","",IF(A64&lt;Contrato!$C$16,Contrato!$C$27,Contrato!$C$28))</x:f>
        <x:v>79.12</x:v>
      </x:c>
      <x:c r="H64" s="131" t="n">
        <x:f>IF(A64="","",Contrato!$C$29)</x:f>
        <x:v>199.99</x:v>
      </x:c>
      <x:c r="I64" s="131" t="n">
        <x:f>IF(A64="","",Contrato!$C$30)</x:f>
        <x:v>187.5</x:v>
      </x:c>
      <x:c r="J64" s="131" t="n">
        <x:f>IF(A64="","",Contrato!$C$31)</x:f>
        <x:v>0</x:v>
      </x:c>
      <x:c r="K64" s="131" t="n">
        <x:f>IF(A64="","",ROUND(SUM(G64:J64),2))</x:f>
        <x:v>466.61</x:v>
      </x:c>
      <x:c r="L64" s="80"/>
      <x:c r="M64" s="77"/>
      <x:c r="N64" s="29" t="str">
        <x:f>IF(A64="","",IF(L64&gt;=K64,"Paga",IF(L64&gt;0,"Paga parcialmente",IF(C64&lt;$A$5,"Vencida","Prevista"))))</x:f>
        <x:v>Prevista</x:v>
      </x:c>
      <x:c r="O64" s="29" t="n">
        <x:f>IF(A64="","",$A$5-C64)</x:f>
        <x:v>-401</x:v>
      </x:c>
      <x:c r="P64" s="131" t="n">
        <x:f>IF(A64="","",IF(AND(O64&gt;0,MAX(K64-L64,0)&gt;0,N64&lt;&gt;"Paga"),ROUND(MAX(K64-L64,0)*'Parâmetros'!$B$34,2),0))</x:f>
        <x:v>0</x:v>
      </x:c>
      <x:c r="Q64" s="131" t="n">
        <x:f>IF(A64="","",IF(AND(O64&gt;0,MAX(K64-L64,0)&gt;0,N64&lt;&gt;"Paga"),ROUND(MAX(K64-L64,0)*'Parâmetros'!$B$35*(O64/'Parâmetros'!$B$33),2),0))</x:f>
        <x:v>0</x:v>
      </x:c>
      <x:c r="R64" s="131" t="n">
        <x:f>IF(A64="","",IF(O64&gt;0,ROUND(MAX(K64-L64,0)+P64+Q64,2),0))</x:f>
        <x:v>0</x:v>
      </x:c>
      <x:c r="S64" s="131" t="n">
        <x:f>IF(A64="","",IF(OR(N64="Paga",O64&gt;0),0,ROUND(IF(K64=0,0,G64*MAX(K64-L64,0)/K64)/(1+'Parâmetros'!$C$13)^((C64-$A$5)/30),2)))</x:f>
        <x:v>64.84</x:v>
      </x:c>
      <x:c r="T64" s="131" t="n">
        <x:f>IF(A64="","",0)</x:f>
        <x:v>0</x:v>
      </x:c>
      <x:c r="U64" s="131" t="n">
        <x:f>IF(A64="","",0)</x:f>
        <x:v>0</x:v>
      </x:c>
      <x:c r="V64" s="131" t="n">
        <x:f>IF(A64="","",IF(N64="Paga",0,IF(O64&gt;0,R64,S64)))</x:f>
        <x:v>64.84</x:v>
      </x:c>
      <x:c r="W64" s="131" t="n">
        <x:f>IF(A64="","",ROUND(MAX(D64-F64,0),2))</x:f>
        <x:v>9033.74</x:v>
      </x:c>
      <x:c r="X64" s="131" t="n">
        <x:f>IF(A64="","",ROUND(SUM($G64:$G$407),2))</x:f>
        <x:v>12104.16</x:v>
      </x:c>
      <x:c r="Y64" s="131" t="n">
        <x:f>IF(A64="","",ROUND(MAX(X64-D64,0),2))</x:f>
        <x:v>3027.07</x:v>
      </x:c>
      <x:c r="Z64" s="131" t="n">
        <x:f>IF(A64="","",ROUND(SUM($V64:$V$407),2))</x:f>
        <x:v>7708.21</x:v>
      </x:c>
      <x:c r="AA64" s="131" t="n">
        <x:f>IF(A64="","",ROUND(SUM($K64:$K$407)-Z64,2))</x:f>
        <x:v>63681.92</x:v>
      </x:c>
      <x:c r="AB64" s="77"/>
      <x:c r="AC64" s="36" t="str">
        <x:f>IF(A64="","",IF(O64&gt;0,"Vencido: saldo da fatura + mora",IF(O64&lt;=0,"Vincendo: VP da parcela financeira; comissão/proteção futuras isentas","")))</x:f>
        <x:v>Vincendo: VP da parcela financeira; comissão/proteção futuras isentas</x:v>
      </x:c>
    </x:row>
    <x:row r="65">
      <x:c r="A65" s="129" t="n">
        <x:f>IF(ROW()-7&lt;=Contrato!$C$16,ROW()-7,"")</x:f>
        <x:v>58</x:v>
      </x:c>
      <x:c r="B65" s="129" t="n">
        <x:f>IF(A65="","",Contrato!$C$16)</x:f>
        <x:v>209</x:v>
      </x:c>
      <x:c r="C65" s="130" t="n">
        <x:f>IF(A65="","",IF(AB65&lt;&gt;"",AB65,IF(Contrato!$C$14="Mensal",EDATE(Contrato!$C$13,A65-1),Contrato!$C$13+(A65-1)*IF(Contrato!$C$14="Quinzenal",14,IF(Contrato!$C$14="Semanal",7,1)))))</x:f>
        <x:v>46668</x:v>
      </x:c>
      <x:c r="D65" s="131" t="n">
        <x:f>IF(A65="","",W64)</x:f>
        <x:v>9033.74</x:v>
      </x:c>
      <x:c r="E65" s="131" t="n">
        <x:f>IF(A65="","",ROUND(D65*Simulador!$I$18,2))</x:f>
        <x:v>35.6</x:v>
      </x:c>
      <x:c r="F65" s="131" t="n">
        <x:f>IF(A65="","",ROUND(MIN(D65,MAX(G65-E65,0)),2))</x:f>
        <x:v>43.52</x:v>
      </x:c>
      <x:c r="G65" s="131" t="n">
        <x:f>IF(A65="","",IF(A65&lt;Contrato!$C$16,Contrato!$C$27,Contrato!$C$28))</x:f>
        <x:v>79.12</x:v>
      </x:c>
      <x:c r="H65" s="131" t="n">
        <x:f>IF(A65="","",Contrato!$C$29)</x:f>
        <x:v>199.99</x:v>
      </x:c>
      <x:c r="I65" s="131" t="n">
        <x:f>IF(A65="","",Contrato!$C$30)</x:f>
        <x:v>187.5</x:v>
      </x:c>
      <x:c r="J65" s="131" t="n">
        <x:f>IF(A65="","",Contrato!$C$31)</x:f>
        <x:v>0</x:v>
      </x:c>
      <x:c r="K65" s="131" t="n">
        <x:f>IF(A65="","",ROUND(SUM(G65:J65),2))</x:f>
        <x:v>466.61</x:v>
      </x:c>
      <x:c r="L65" s="80"/>
      <x:c r="M65" s="77"/>
      <x:c r="N65" s="29" t="str">
        <x:f>IF(A65="","",IF(L65&gt;=K65,"Paga",IF(L65&gt;0,"Paga parcialmente",IF(C65&lt;$A$5,"Vencida","Prevista"))))</x:f>
        <x:v>Prevista</x:v>
      </x:c>
      <x:c r="O65" s="29" t="n">
        <x:f>IF(A65="","",$A$5-C65)</x:f>
        <x:v>-408</x:v>
      </x:c>
      <x:c r="P65" s="131" t="n">
        <x:f>IF(A65="","",IF(AND(O65&gt;0,MAX(K65-L65,0)&gt;0,N65&lt;&gt;"Paga"),ROUND(MAX(K65-L65,0)*'Parâmetros'!$B$34,2),0))</x:f>
        <x:v>0</x:v>
      </x:c>
      <x:c r="Q65" s="131" t="n">
        <x:f>IF(A65="","",IF(AND(O65&gt;0,MAX(K65-L65,0)&gt;0,N65&lt;&gt;"Paga"),ROUND(MAX(K65-L65,0)*'Parâmetros'!$B$35*(O65/'Parâmetros'!$B$33),2),0))</x:f>
        <x:v>0</x:v>
      </x:c>
      <x:c r="R65" s="131" t="n">
        <x:f>IF(A65="","",IF(O65&gt;0,ROUND(MAX(K65-L65,0)+P65+Q65,2),0))</x:f>
        <x:v>0</x:v>
      </x:c>
      <x:c r="S65" s="131" t="n">
        <x:f>IF(A65="","",IF(OR(N65="Paga",O65&gt;0),0,ROUND(IF(K65=0,0,G65*MAX(K65-L65,0)/K65)/(1+'Parâmetros'!$C$13)^((C65-$A$5)/30),2)))</x:f>
        <x:v>64.62</x:v>
      </x:c>
      <x:c r="T65" s="131" t="n">
        <x:f>IF(A65="","",0)</x:f>
        <x:v>0</x:v>
      </x:c>
      <x:c r="U65" s="131" t="n">
        <x:f>IF(A65="","",0)</x:f>
        <x:v>0</x:v>
      </x:c>
      <x:c r="V65" s="131" t="n">
        <x:f>IF(A65="","",IF(N65="Paga",0,IF(O65&gt;0,R65,S65)))</x:f>
        <x:v>64.62</x:v>
      </x:c>
      <x:c r="W65" s="131" t="n">
        <x:f>IF(A65="","",ROUND(MAX(D65-F65,0),2))</x:f>
        <x:v>8990.22</x:v>
      </x:c>
      <x:c r="X65" s="131" t="n">
        <x:f>IF(A65="","",ROUND(SUM($G65:$G$407),2))</x:f>
        <x:v>12025.04</x:v>
      </x:c>
      <x:c r="Y65" s="131" t="n">
        <x:f>IF(A65="","",ROUND(MAX(X65-D65,0),2))</x:f>
        <x:v>2991.3</x:v>
      </x:c>
      <x:c r="Z65" s="131" t="n">
        <x:f>IF(A65="","",ROUND(SUM($V65:$V$407),2))</x:f>
        <x:v>7643.37</x:v>
      </x:c>
      <x:c r="AA65" s="131" t="n">
        <x:f>IF(A65="","",ROUND(SUM($K65:$K$407)-Z65,2))</x:f>
        <x:v>63280.15</x:v>
      </x:c>
      <x:c r="AB65" s="77"/>
      <x:c r="AC65" s="36" t="str">
        <x:f>IF(A65="","",IF(O65&gt;0,"Vencido: saldo da fatura + mora",IF(O65&lt;=0,"Vincendo: VP da parcela financeira; comissão/proteção futuras isentas","")))</x:f>
        <x:v>Vincendo: VP da parcela financeira; comissão/proteção futuras isentas</x:v>
      </x:c>
    </x:row>
    <x:row r="66">
      <x:c r="A66" s="129" t="n">
        <x:f>IF(ROW()-7&lt;=Contrato!$C$16,ROW()-7,"")</x:f>
        <x:v>59</x:v>
      </x:c>
      <x:c r="B66" s="129" t="n">
        <x:f>IF(A66="","",Contrato!$C$16)</x:f>
        <x:v>209</x:v>
      </x:c>
      <x:c r="C66" s="130" t="n">
        <x:f>IF(A66="","",IF(AB66&lt;&gt;"",AB66,IF(Contrato!$C$14="Mensal",EDATE(Contrato!$C$13,A66-1),Contrato!$C$13+(A66-1)*IF(Contrato!$C$14="Quinzenal",14,IF(Contrato!$C$14="Semanal",7,1)))))</x:f>
        <x:v>46675</x:v>
      </x:c>
      <x:c r="D66" s="131" t="n">
        <x:f>IF(A66="","",W65)</x:f>
        <x:v>8990.22</x:v>
      </x:c>
      <x:c r="E66" s="131" t="n">
        <x:f>IF(A66="","",ROUND(D66*Simulador!$I$18,2))</x:f>
        <x:v>35.43</x:v>
      </x:c>
      <x:c r="F66" s="131" t="n">
        <x:f>IF(A66="","",ROUND(MIN(D66,MAX(G66-E66,0)),2))</x:f>
        <x:v>43.69</x:v>
      </x:c>
      <x:c r="G66" s="131" t="n">
        <x:f>IF(A66="","",IF(A66&lt;Contrato!$C$16,Contrato!$C$27,Contrato!$C$28))</x:f>
        <x:v>79.12</x:v>
      </x:c>
      <x:c r="H66" s="131" t="n">
        <x:f>IF(A66="","",Contrato!$C$29)</x:f>
        <x:v>199.99</x:v>
      </x:c>
      <x:c r="I66" s="131" t="n">
        <x:f>IF(A66="","",Contrato!$C$30)</x:f>
        <x:v>187.5</x:v>
      </x:c>
      <x:c r="J66" s="131" t="n">
        <x:f>IF(A66="","",Contrato!$C$31)</x:f>
        <x:v>0</x:v>
      </x:c>
      <x:c r="K66" s="131" t="n">
        <x:f>IF(A66="","",ROUND(SUM(G66:J66),2))</x:f>
        <x:v>466.61</x:v>
      </x:c>
      <x:c r="L66" s="80"/>
      <x:c r="M66" s="77"/>
      <x:c r="N66" s="29" t="str">
        <x:f>IF(A66="","",IF(L66&gt;=K66,"Paga",IF(L66&gt;0,"Paga parcialmente",IF(C66&lt;$A$5,"Vencida","Prevista"))))</x:f>
        <x:v>Prevista</x:v>
      </x:c>
      <x:c r="O66" s="29" t="n">
        <x:f>IF(A66="","",$A$5-C66)</x:f>
        <x:v>-415</x:v>
      </x:c>
      <x:c r="P66" s="131" t="n">
        <x:f>IF(A66="","",IF(AND(O66&gt;0,MAX(K66-L66,0)&gt;0,N66&lt;&gt;"Paga"),ROUND(MAX(K66-L66,0)*'Parâmetros'!$B$34,2),0))</x:f>
        <x:v>0</x:v>
      </x:c>
      <x:c r="Q66" s="131" t="n">
        <x:f>IF(A66="","",IF(AND(O66&gt;0,MAX(K66-L66,0)&gt;0,N66&lt;&gt;"Paga"),ROUND(MAX(K66-L66,0)*'Parâmetros'!$B$35*(O66/'Parâmetros'!$B$33),2),0))</x:f>
        <x:v>0</x:v>
      </x:c>
      <x:c r="R66" s="131" t="n">
        <x:f>IF(A66="","",IF(O66&gt;0,ROUND(MAX(K66-L66,0)+P66+Q66,2),0))</x:f>
        <x:v>0</x:v>
      </x:c>
      <x:c r="S66" s="131" t="n">
        <x:f>IF(A66="","",IF(OR(N66="Paga",O66&gt;0),0,ROUND(IF(K66=0,0,G66*MAX(K66-L66,0)/K66)/(1+'Parâmetros'!$C$13)^((C66-$A$5)/30),2)))</x:f>
        <x:v>64.39</x:v>
      </x:c>
      <x:c r="T66" s="131" t="n">
        <x:f>IF(A66="","",0)</x:f>
        <x:v>0</x:v>
      </x:c>
      <x:c r="U66" s="131" t="n">
        <x:f>IF(A66="","",0)</x:f>
        <x:v>0</x:v>
      </x:c>
      <x:c r="V66" s="131" t="n">
        <x:f>IF(A66="","",IF(N66="Paga",0,IF(O66&gt;0,R66,S66)))</x:f>
        <x:v>64.39</x:v>
      </x:c>
      <x:c r="W66" s="131" t="n">
        <x:f>IF(A66="","",ROUND(MAX(D66-F66,0),2))</x:f>
        <x:v>8946.53</x:v>
      </x:c>
      <x:c r="X66" s="131" t="n">
        <x:f>IF(A66="","",ROUND(SUM($G66:$G$407),2))</x:f>
        <x:v>11945.92</x:v>
      </x:c>
      <x:c r="Y66" s="131" t="n">
        <x:f>IF(A66="","",ROUND(MAX(X66-D66,0),2))</x:f>
        <x:v>2955.7</x:v>
      </x:c>
      <x:c r="Z66" s="131" t="n">
        <x:f>IF(A66="","",ROUND(SUM($V66:$V$407),2))</x:f>
        <x:v>7578.75</x:v>
      </x:c>
      <x:c r="AA66" s="131" t="n">
        <x:f>IF(A66="","",ROUND(SUM($K66:$K$407)-Z66,2))</x:f>
        <x:v>62878.16</x:v>
      </x:c>
      <x:c r="AB66" s="77"/>
      <x:c r="AC66" s="36" t="str">
        <x:f>IF(A66="","",IF(O66&gt;0,"Vencido: saldo da fatura + mora",IF(O66&lt;=0,"Vincendo: VP da parcela financeira; comissão/proteção futuras isentas","")))</x:f>
        <x:v>Vincendo: VP da parcela financeira; comissão/proteção futuras isentas</x:v>
      </x:c>
    </x:row>
    <x:row r="67">
      <x:c r="A67" s="129" t="n">
        <x:f>IF(ROW()-7&lt;=Contrato!$C$16,ROW()-7,"")</x:f>
        <x:v>60</x:v>
      </x:c>
      <x:c r="B67" s="129" t="n">
        <x:f>IF(A67="","",Contrato!$C$16)</x:f>
        <x:v>209</x:v>
      </x:c>
      <x:c r="C67" s="130" t="n">
        <x:f>IF(A67="","",IF(AB67&lt;&gt;"",AB67,IF(Contrato!$C$14="Mensal",EDATE(Contrato!$C$13,A67-1),Contrato!$C$13+(A67-1)*IF(Contrato!$C$14="Quinzenal",14,IF(Contrato!$C$14="Semanal",7,1)))))</x:f>
        <x:v>46682</x:v>
      </x:c>
      <x:c r="D67" s="131" t="n">
        <x:f>IF(A67="","",W66)</x:f>
        <x:v>8946.53</x:v>
      </x:c>
      <x:c r="E67" s="131" t="n">
        <x:f>IF(A67="","",ROUND(D67*Simulador!$I$18,2))</x:f>
        <x:v>35.26</x:v>
      </x:c>
      <x:c r="F67" s="131" t="n">
        <x:f>IF(A67="","",ROUND(MIN(D67,MAX(G67-E67,0)),2))</x:f>
        <x:v>43.86</x:v>
      </x:c>
      <x:c r="G67" s="131" t="n">
        <x:f>IF(A67="","",IF(A67&lt;Contrato!$C$16,Contrato!$C$27,Contrato!$C$28))</x:f>
        <x:v>79.12</x:v>
      </x:c>
      <x:c r="H67" s="131" t="n">
        <x:f>IF(A67="","",Contrato!$C$29)</x:f>
        <x:v>199.99</x:v>
      </x:c>
      <x:c r="I67" s="131" t="n">
        <x:f>IF(A67="","",Contrato!$C$30)</x:f>
        <x:v>187.5</x:v>
      </x:c>
      <x:c r="J67" s="131" t="n">
        <x:f>IF(A67="","",Contrato!$C$31)</x:f>
        <x:v>0</x:v>
      </x:c>
      <x:c r="K67" s="131" t="n">
        <x:f>IF(A67="","",ROUND(SUM(G67:J67),2))</x:f>
        <x:v>466.61</x:v>
      </x:c>
      <x:c r="L67" s="80"/>
      <x:c r="M67" s="77"/>
      <x:c r="N67" s="29" t="str">
        <x:f>IF(A67="","",IF(L67&gt;=K67,"Paga",IF(L67&gt;0,"Paga parcialmente",IF(C67&lt;$A$5,"Vencida","Prevista"))))</x:f>
        <x:v>Prevista</x:v>
      </x:c>
      <x:c r="O67" s="29" t="n">
        <x:f>IF(A67="","",$A$5-C67)</x:f>
        <x:v>-422</x:v>
      </x:c>
      <x:c r="P67" s="131" t="n">
        <x:f>IF(A67="","",IF(AND(O67&gt;0,MAX(K67-L67,0)&gt;0,N67&lt;&gt;"Paga"),ROUND(MAX(K67-L67,0)*'Parâmetros'!$B$34,2),0))</x:f>
        <x:v>0</x:v>
      </x:c>
      <x:c r="Q67" s="131" t="n">
        <x:f>IF(A67="","",IF(AND(O67&gt;0,MAX(K67-L67,0)&gt;0,N67&lt;&gt;"Paga"),ROUND(MAX(K67-L67,0)*'Parâmetros'!$B$35*(O67/'Parâmetros'!$B$33),2),0))</x:f>
        <x:v>0</x:v>
      </x:c>
      <x:c r="R67" s="131" t="n">
        <x:f>IF(A67="","",IF(O67&gt;0,ROUND(MAX(K67-L67,0)+P67+Q67,2),0))</x:f>
        <x:v>0</x:v>
      </x:c>
      <x:c r="S67" s="131" t="n">
        <x:f>IF(A67="","",IF(OR(N67="Paga",O67&gt;0),0,ROUND(IF(K67=0,0,G67*MAX(K67-L67,0)/K67)/(1+'Parâmetros'!$C$13)^((C67-$A$5)/30),2)))</x:f>
        <x:v>64.17</x:v>
      </x:c>
      <x:c r="T67" s="131" t="n">
        <x:f>IF(A67="","",0)</x:f>
        <x:v>0</x:v>
      </x:c>
      <x:c r="U67" s="131" t="n">
        <x:f>IF(A67="","",0)</x:f>
        <x:v>0</x:v>
      </x:c>
      <x:c r="V67" s="131" t="n">
        <x:f>IF(A67="","",IF(N67="Paga",0,IF(O67&gt;0,R67,S67)))</x:f>
        <x:v>64.17</x:v>
      </x:c>
      <x:c r="W67" s="131" t="n">
        <x:f>IF(A67="","",ROUND(MAX(D67-F67,0),2))</x:f>
        <x:v>8902.67</x:v>
      </x:c>
      <x:c r="X67" s="131" t="n">
        <x:f>IF(A67="","",ROUND(SUM($G67:$G$407),2))</x:f>
        <x:v>11866.8</x:v>
      </x:c>
      <x:c r="Y67" s="131" t="n">
        <x:f>IF(A67="","",ROUND(MAX(X67-D67,0),2))</x:f>
        <x:v>2920.27</x:v>
      </x:c>
      <x:c r="Z67" s="131" t="n">
        <x:f>IF(A67="","",ROUND(SUM($V67:$V$407),2))</x:f>
        <x:v>7514.36</x:v>
      </x:c>
      <x:c r="AA67" s="131" t="n">
        <x:f>IF(A67="","",ROUND(SUM($K67:$K$407)-Z67,2))</x:f>
        <x:v>62475.94</x:v>
      </x:c>
      <x:c r="AB67" s="77"/>
      <x:c r="AC67" s="36" t="str">
        <x:f>IF(A67="","",IF(O67&gt;0,"Vencido: saldo da fatura + mora",IF(O67&lt;=0,"Vincendo: VP da parcela financeira; comissão/proteção futuras isentas","")))</x:f>
        <x:v>Vincendo: VP da parcela financeira; comissão/proteção futuras isentas</x:v>
      </x:c>
    </x:row>
    <x:row r="68">
      <x:c r="A68" s="129" t="n">
        <x:f>IF(ROW()-7&lt;=Contrato!$C$16,ROW()-7,"")</x:f>
        <x:v>61</x:v>
      </x:c>
      <x:c r="B68" s="129" t="n">
        <x:f>IF(A68="","",Contrato!$C$16)</x:f>
        <x:v>209</x:v>
      </x:c>
      <x:c r="C68" s="130" t="n">
        <x:f>IF(A68="","",IF(AB68&lt;&gt;"",AB68,IF(Contrato!$C$14="Mensal",EDATE(Contrato!$C$13,A68-1),Contrato!$C$13+(A68-1)*IF(Contrato!$C$14="Quinzenal",14,IF(Contrato!$C$14="Semanal",7,1)))))</x:f>
        <x:v>46689</x:v>
      </x:c>
      <x:c r="D68" s="131" t="n">
        <x:f>IF(A68="","",W67)</x:f>
        <x:v>8902.67</x:v>
      </x:c>
      <x:c r="E68" s="131" t="n">
        <x:f>IF(A68="","",ROUND(D68*Simulador!$I$18,2))</x:f>
        <x:v>35.09</x:v>
      </x:c>
      <x:c r="F68" s="131" t="n">
        <x:f>IF(A68="","",ROUND(MIN(D68,MAX(G68-E68,0)),2))</x:f>
        <x:v>44.03</x:v>
      </x:c>
      <x:c r="G68" s="131" t="n">
        <x:f>IF(A68="","",IF(A68&lt;Contrato!$C$16,Contrato!$C$27,Contrato!$C$28))</x:f>
        <x:v>79.12</x:v>
      </x:c>
      <x:c r="H68" s="131" t="n">
        <x:f>IF(A68="","",Contrato!$C$29)</x:f>
        <x:v>199.99</x:v>
      </x:c>
      <x:c r="I68" s="131" t="n">
        <x:f>IF(A68="","",Contrato!$C$30)</x:f>
        <x:v>187.5</x:v>
      </x:c>
      <x:c r="J68" s="131" t="n">
        <x:f>IF(A68="","",Contrato!$C$31)</x:f>
        <x:v>0</x:v>
      </x:c>
      <x:c r="K68" s="131" t="n">
        <x:f>IF(A68="","",ROUND(SUM(G68:J68),2))</x:f>
        <x:v>466.61</x:v>
      </x:c>
      <x:c r="L68" s="80"/>
      <x:c r="M68" s="77"/>
      <x:c r="N68" s="29" t="str">
        <x:f>IF(A68="","",IF(L68&gt;=K68,"Paga",IF(L68&gt;0,"Paga parcialmente",IF(C68&lt;$A$5,"Vencida","Prevista"))))</x:f>
        <x:v>Prevista</x:v>
      </x:c>
      <x:c r="O68" s="29" t="n">
        <x:f>IF(A68="","",$A$5-C68)</x:f>
        <x:v>-429</x:v>
      </x:c>
      <x:c r="P68" s="131" t="n">
        <x:f>IF(A68="","",IF(AND(O68&gt;0,MAX(K68-L68,0)&gt;0,N68&lt;&gt;"Paga"),ROUND(MAX(K68-L68,0)*'Parâmetros'!$B$34,2),0))</x:f>
        <x:v>0</x:v>
      </x:c>
      <x:c r="Q68" s="131" t="n">
        <x:f>IF(A68="","",IF(AND(O68&gt;0,MAX(K68-L68,0)&gt;0,N68&lt;&gt;"Paga"),ROUND(MAX(K68-L68,0)*'Parâmetros'!$B$35*(O68/'Parâmetros'!$B$33),2),0))</x:f>
        <x:v>0</x:v>
      </x:c>
      <x:c r="R68" s="131" t="n">
        <x:f>IF(A68="","",IF(O68&gt;0,ROUND(MAX(K68-L68,0)+P68+Q68,2),0))</x:f>
        <x:v>0</x:v>
      </x:c>
      <x:c r="S68" s="131" t="n">
        <x:f>IF(A68="","",IF(OR(N68="Paga",O68&gt;0),0,ROUND(IF(K68=0,0,G68*MAX(K68-L68,0)/K68)/(1+'Parâmetros'!$C$13)^((C68-$A$5)/30),2)))</x:f>
        <x:v>63.95</x:v>
      </x:c>
      <x:c r="T68" s="131" t="n">
        <x:f>IF(A68="","",0)</x:f>
        <x:v>0</x:v>
      </x:c>
      <x:c r="U68" s="131" t="n">
        <x:f>IF(A68="","",0)</x:f>
        <x:v>0</x:v>
      </x:c>
      <x:c r="V68" s="131" t="n">
        <x:f>IF(A68="","",IF(N68="Paga",0,IF(O68&gt;0,R68,S68)))</x:f>
        <x:v>63.95</x:v>
      </x:c>
      <x:c r="W68" s="131" t="n">
        <x:f>IF(A68="","",ROUND(MAX(D68-F68,0),2))</x:f>
        <x:v>8858.64</x:v>
      </x:c>
      <x:c r="X68" s="131" t="n">
        <x:f>IF(A68="","",ROUND(SUM($G68:$G$407),2))</x:f>
        <x:v>11787.68</x:v>
      </x:c>
      <x:c r="Y68" s="131" t="n">
        <x:f>IF(A68="","",ROUND(MAX(X68-D68,0),2))</x:f>
        <x:v>2885.01</x:v>
      </x:c>
      <x:c r="Z68" s="131" t="n">
        <x:f>IF(A68="","",ROUND(SUM($V68:$V$407),2))</x:f>
        <x:v>7450.19</x:v>
      </x:c>
      <x:c r="AA68" s="131" t="n">
        <x:f>IF(A68="","",ROUND(SUM($K68:$K$407)-Z68,2))</x:f>
        <x:v>62073.5</x:v>
      </x:c>
      <x:c r="AB68" s="77"/>
      <x:c r="AC68" s="36" t="str">
        <x:f>IF(A68="","",IF(O68&gt;0,"Vencido: saldo da fatura + mora",IF(O68&lt;=0,"Vincendo: VP da parcela financeira; comissão/proteção futuras isentas","")))</x:f>
        <x:v>Vincendo: VP da parcela financeira; comissão/proteção futuras isentas</x:v>
      </x:c>
    </x:row>
    <x:row r="69">
      <x:c r="A69" s="129" t="n">
        <x:f>IF(ROW()-7&lt;=Contrato!$C$16,ROW()-7,"")</x:f>
        <x:v>62</x:v>
      </x:c>
      <x:c r="B69" s="129" t="n">
        <x:f>IF(A69="","",Contrato!$C$16)</x:f>
        <x:v>209</x:v>
      </x:c>
      <x:c r="C69" s="130" t="n">
        <x:f>IF(A69="","",IF(AB69&lt;&gt;"",AB69,IF(Contrato!$C$14="Mensal",EDATE(Contrato!$C$13,A69-1),Contrato!$C$13+(A69-1)*IF(Contrato!$C$14="Quinzenal",14,IF(Contrato!$C$14="Semanal",7,1)))))</x:f>
        <x:v>46696</x:v>
      </x:c>
      <x:c r="D69" s="131" t="n">
        <x:f>IF(A69="","",W68)</x:f>
        <x:v>8858.64</x:v>
      </x:c>
      <x:c r="E69" s="131" t="n">
        <x:f>IF(A69="","",ROUND(D69*Simulador!$I$18,2))</x:f>
        <x:v>34.91</x:v>
      </x:c>
      <x:c r="F69" s="131" t="n">
        <x:f>IF(A69="","",ROUND(MIN(D69,MAX(G69-E69,0)),2))</x:f>
        <x:v>44.21</x:v>
      </x:c>
      <x:c r="G69" s="131" t="n">
        <x:f>IF(A69="","",IF(A69&lt;Contrato!$C$16,Contrato!$C$27,Contrato!$C$28))</x:f>
        <x:v>79.12</x:v>
      </x:c>
      <x:c r="H69" s="131" t="n">
        <x:f>IF(A69="","",Contrato!$C$29)</x:f>
        <x:v>199.99</x:v>
      </x:c>
      <x:c r="I69" s="131" t="n">
        <x:f>IF(A69="","",Contrato!$C$30)</x:f>
        <x:v>187.5</x:v>
      </x:c>
      <x:c r="J69" s="131" t="n">
        <x:f>IF(A69="","",Contrato!$C$31)</x:f>
        <x:v>0</x:v>
      </x:c>
      <x:c r="K69" s="131" t="n">
        <x:f>IF(A69="","",ROUND(SUM(G69:J69),2))</x:f>
        <x:v>466.61</x:v>
      </x:c>
      <x:c r="L69" s="80"/>
      <x:c r="M69" s="77"/>
      <x:c r="N69" s="29" t="str">
        <x:f>IF(A69="","",IF(L69&gt;=K69,"Paga",IF(L69&gt;0,"Paga parcialmente",IF(C69&lt;$A$5,"Vencida","Prevista"))))</x:f>
        <x:v>Prevista</x:v>
      </x:c>
      <x:c r="O69" s="29" t="n">
        <x:f>IF(A69="","",$A$5-C69)</x:f>
        <x:v>-436</x:v>
      </x:c>
      <x:c r="P69" s="131" t="n">
        <x:f>IF(A69="","",IF(AND(O69&gt;0,MAX(K69-L69,0)&gt;0,N69&lt;&gt;"Paga"),ROUND(MAX(K69-L69,0)*'Parâmetros'!$B$34,2),0))</x:f>
        <x:v>0</x:v>
      </x:c>
      <x:c r="Q69" s="131" t="n">
        <x:f>IF(A69="","",IF(AND(O69&gt;0,MAX(K69-L69,0)&gt;0,N69&lt;&gt;"Paga"),ROUND(MAX(K69-L69,0)*'Parâmetros'!$B$35*(O69/'Parâmetros'!$B$33),2),0))</x:f>
        <x:v>0</x:v>
      </x:c>
      <x:c r="R69" s="131" t="n">
        <x:f>IF(A69="","",IF(O69&gt;0,ROUND(MAX(K69-L69,0)+P69+Q69,2),0))</x:f>
        <x:v>0</x:v>
      </x:c>
      <x:c r="S69" s="131" t="n">
        <x:f>IF(A69="","",IF(OR(N69="Paga",O69&gt;0),0,ROUND(IF(K69=0,0,G69*MAX(K69-L69,0)/K69)/(1+'Parâmetros'!$C$13)^((C69-$A$5)/30),2)))</x:f>
        <x:v>63.73</x:v>
      </x:c>
      <x:c r="T69" s="131" t="n">
        <x:f>IF(A69="","",0)</x:f>
        <x:v>0</x:v>
      </x:c>
      <x:c r="U69" s="131" t="n">
        <x:f>IF(A69="","",0)</x:f>
        <x:v>0</x:v>
      </x:c>
      <x:c r="V69" s="131" t="n">
        <x:f>IF(A69="","",IF(N69="Paga",0,IF(O69&gt;0,R69,S69)))</x:f>
        <x:v>63.73</x:v>
      </x:c>
      <x:c r="W69" s="131" t="n">
        <x:f>IF(A69="","",ROUND(MAX(D69-F69,0),2))</x:f>
        <x:v>8814.43</x:v>
      </x:c>
      <x:c r="X69" s="131" t="n">
        <x:f>IF(A69="","",ROUND(SUM($G69:$G$407),2))</x:f>
        <x:v>11708.56</x:v>
      </x:c>
      <x:c r="Y69" s="131" t="n">
        <x:f>IF(A69="","",ROUND(MAX(X69-D69,0),2))</x:f>
        <x:v>2849.92</x:v>
      </x:c>
      <x:c r="Z69" s="131" t="n">
        <x:f>IF(A69="","",ROUND(SUM($V69:$V$407),2))</x:f>
        <x:v>7386.24</x:v>
      </x:c>
      <x:c r="AA69" s="131" t="n">
        <x:f>IF(A69="","",ROUND(SUM($K69:$K$407)-Z69,2))</x:f>
        <x:v>61670.84</x:v>
      </x:c>
      <x:c r="AB69" s="77"/>
      <x:c r="AC69" s="36" t="str">
        <x:f>IF(A69="","",IF(O69&gt;0,"Vencido: saldo da fatura + mora",IF(O69&lt;=0,"Vincendo: VP da parcela financeira; comissão/proteção futuras isentas","")))</x:f>
        <x:v>Vincendo: VP da parcela financeira; comissão/proteção futuras isentas</x:v>
      </x:c>
    </x:row>
    <x:row r="70">
      <x:c r="A70" s="129" t="n">
        <x:f>IF(ROW()-7&lt;=Contrato!$C$16,ROW()-7,"")</x:f>
        <x:v>63</x:v>
      </x:c>
      <x:c r="B70" s="129" t="n">
        <x:f>IF(A70="","",Contrato!$C$16)</x:f>
        <x:v>209</x:v>
      </x:c>
      <x:c r="C70" s="130" t="n">
        <x:f>IF(A70="","",IF(AB70&lt;&gt;"",AB70,IF(Contrato!$C$14="Mensal",EDATE(Contrato!$C$13,A70-1),Contrato!$C$13+(A70-1)*IF(Contrato!$C$14="Quinzenal",14,IF(Contrato!$C$14="Semanal",7,1)))))</x:f>
        <x:v>46703</x:v>
      </x:c>
      <x:c r="D70" s="131" t="n">
        <x:f>IF(A70="","",W69)</x:f>
        <x:v>8814.43</x:v>
      </x:c>
      <x:c r="E70" s="131" t="n">
        <x:f>IF(A70="","",ROUND(D70*Simulador!$I$18,2))</x:f>
        <x:v>34.74</x:v>
      </x:c>
      <x:c r="F70" s="131" t="n">
        <x:f>IF(A70="","",ROUND(MIN(D70,MAX(G70-E70,0)),2))</x:f>
        <x:v>44.38</x:v>
      </x:c>
      <x:c r="G70" s="131" t="n">
        <x:f>IF(A70="","",IF(A70&lt;Contrato!$C$16,Contrato!$C$27,Contrato!$C$28))</x:f>
        <x:v>79.12</x:v>
      </x:c>
      <x:c r="H70" s="131" t="n">
        <x:f>IF(A70="","",Contrato!$C$29)</x:f>
        <x:v>199.99</x:v>
      </x:c>
      <x:c r="I70" s="131" t="n">
        <x:f>IF(A70="","",Contrato!$C$30)</x:f>
        <x:v>187.5</x:v>
      </x:c>
      <x:c r="J70" s="131" t="n">
        <x:f>IF(A70="","",Contrato!$C$31)</x:f>
        <x:v>0</x:v>
      </x:c>
      <x:c r="K70" s="131" t="n">
        <x:f>IF(A70="","",ROUND(SUM(G70:J70),2))</x:f>
        <x:v>466.61</x:v>
      </x:c>
      <x:c r="L70" s="80"/>
      <x:c r="M70" s="77"/>
      <x:c r="N70" s="29" t="str">
        <x:f>IF(A70="","",IF(L70&gt;=K70,"Paga",IF(L70&gt;0,"Paga parcialmente",IF(C70&lt;$A$5,"Vencida","Prevista"))))</x:f>
        <x:v>Prevista</x:v>
      </x:c>
      <x:c r="O70" s="29" t="n">
        <x:f>IF(A70="","",$A$5-C70)</x:f>
        <x:v>-443</x:v>
      </x:c>
      <x:c r="P70" s="131" t="n">
        <x:f>IF(A70="","",IF(AND(O70&gt;0,MAX(K70-L70,0)&gt;0,N70&lt;&gt;"Paga"),ROUND(MAX(K70-L70,0)*'Parâmetros'!$B$34,2),0))</x:f>
        <x:v>0</x:v>
      </x:c>
      <x:c r="Q70" s="131" t="n">
        <x:f>IF(A70="","",IF(AND(O70&gt;0,MAX(K70-L70,0)&gt;0,N70&lt;&gt;"Paga"),ROUND(MAX(K70-L70,0)*'Parâmetros'!$B$35*(O70/'Parâmetros'!$B$33),2),0))</x:f>
        <x:v>0</x:v>
      </x:c>
      <x:c r="R70" s="131" t="n">
        <x:f>IF(A70="","",IF(O70&gt;0,ROUND(MAX(K70-L70,0)+P70+Q70,2),0))</x:f>
        <x:v>0</x:v>
      </x:c>
      <x:c r="S70" s="131" t="n">
        <x:f>IF(A70="","",IF(OR(N70="Paga",O70&gt;0),0,ROUND(IF(K70=0,0,G70*MAX(K70-L70,0)/K70)/(1+'Parâmetros'!$C$13)^((C70-$A$5)/30),2)))</x:f>
        <x:v>63.5</x:v>
      </x:c>
      <x:c r="T70" s="131" t="n">
        <x:f>IF(A70="","",0)</x:f>
        <x:v>0</x:v>
      </x:c>
      <x:c r="U70" s="131" t="n">
        <x:f>IF(A70="","",0)</x:f>
        <x:v>0</x:v>
      </x:c>
      <x:c r="V70" s="131" t="n">
        <x:f>IF(A70="","",IF(N70="Paga",0,IF(O70&gt;0,R70,S70)))</x:f>
        <x:v>63.5</x:v>
      </x:c>
      <x:c r="W70" s="131" t="n">
        <x:f>IF(A70="","",ROUND(MAX(D70-F70,0),2))</x:f>
        <x:v>8770.05</x:v>
      </x:c>
      <x:c r="X70" s="131" t="n">
        <x:f>IF(A70="","",ROUND(SUM($G70:$G$407),2))</x:f>
        <x:v>11629.44</x:v>
      </x:c>
      <x:c r="Y70" s="131" t="n">
        <x:f>IF(A70="","",ROUND(MAX(X70-D70,0),2))</x:f>
        <x:v>2815.01</x:v>
      </x:c>
      <x:c r="Z70" s="131" t="n">
        <x:f>IF(A70="","",ROUND(SUM($V70:$V$407),2))</x:f>
        <x:v>7322.51</x:v>
      </x:c>
      <x:c r="AA70" s="131" t="n">
        <x:f>IF(A70="","",ROUND(SUM($K70:$K$407)-Z70,2))</x:f>
        <x:v>61267.96</x:v>
      </x:c>
      <x:c r="AB70" s="77"/>
      <x:c r="AC70" s="36" t="str">
        <x:f>IF(A70="","",IF(O70&gt;0,"Vencido: saldo da fatura + mora",IF(O70&lt;=0,"Vincendo: VP da parcela financeira; comissão/proteção futuras isentas","")))</x:f>
        <x:v>Vincendo: VP da parcela financeira; comissão/proteção futuras isentas</x:v>
      </x:c>
    </x:row>
    <x:row r="71">
      <x:c r="A71" s="129" t="n">
        <x:f>IF(ROW()-7&lt;=Contrato!$C$16,ROW()-7,"")</x:f>
        <x:v>64</x:v>
      </x:c>
      <x:c r="B71" s="129" t="n">
        <x:f>IF(A71="","",Contrato!$C$16)</x:f>
        <x:v>209</x:v>
      </x:c>
      <x:c r="C71" s="130" t="n">
        <x:f>IF(A71="","",IF(AB71&lt;&gt;"",AB71,IF(Contrato!$C$14="Mensal",EDATE(Contrato!$C$13,A71-1),Contrato!$C$13+(A71-1)*IF(Contrato!$C$14="Quinzenal",14,IF(Contrato!$C$14="Semanal",7,1)))))</x:f>
        <x:v>46710</x:v>
      </x:c>
      <x:c r="D71" s="131" t="n">
        <x:f>IF(A71="","",W70)</x:f>
        <x:v>8770.05</x:v>
      </x:c>
      <x:c r="E71" s="131" t="n">
        <x:f>IF(A71="","",ROUND(D71*Simulador!$I$18,2))</x:f>
        <x:v>34.56</x:v>
      </x:c>
      <x:c r="F71" s="131" t="n">
        <x:f>IF(A71="","",ROUND(MIN(D71,MAX(G71-E71,0)),2))</x:f>
        <x:v>44.56</x:v>
      </x:c>
      <x:c r="G71" s="131" t="n">
        <x:f>IF(A71="","",IF(A71&lt;Contrato!$C$16,Contrato!$C$27,Contrato!$C$28))</x:f>
        <x:v>79.12</x:v>
      </x:c>
      <x:c r="H71" s="131" t="n">
        <x:f>IF(A71="","",Contrato!$C$29)</x:f>
        <x:v>199.99</x:v>
      </x:c>
      <x:c r="I71" s="131" t="n">
        <x:f>IF(A71="","",Contrato!$C$30)</x:f>
        <x:v>187.5</x:v>
      </x:c>
      <x:c r="J71" s="131" t="n">
        <x:f>IF(A71="","",Contrato!$C$31)</x:f>
        <x:v>0</x:v>
      </x:c>
      <x:c r="K71" s="131" t="n">
        <x:f>IF(A71="","",ROUND(SUM(G71:J71),2))</x:f>
        <x:v>466.61</x:v>
      </x:c>
      <x:c r="L71" s="80"/>
      <x:c r="M71" s="77"/>
      <x:c r="N71" s="29" t="str">
        <x:f>IF(A71="","",IF(L71&gt;=K71,"Paga",IF(L71&gt;0,"Paga parcialmente",IF(C71&lt;$A$5,"Vencida","Prevista"))))</x:f>
        <x:v>Prevista</x:v>
      </x:c>
      <x:c r="O71" s="29" t="n">
        <x:f>IF(A71="","",$A$5-C71)</x:f>
        <x:v>-450</x:v>
      </x:c>
      <x:c r="P71" s="131" t="n">
        <x:f>IF(A71="","",IF(AND(O71&gt;0,MAX(K71-L71,0)&gt;0,N71&lt;&gt;"Paga"),ROUND(MAX(K71-L71,0)*'Parâmetros'!$B$34,2),0))</x:f>
        <x:v>0</x:v>
      </x:c>
      <x:c r="Q71" s="131" t="n">
        <x:f>IF(A71="","",IF(AND(O71&gt;0,MAX(K71-L71,0)&gt;0,N71&lt;&gt;"Paga"),ROUND(MAX(K71-L71,0)*'Parâmetros'!$B$35*(O71/'Parâmetros'!$B$33),2),0))</x:f>
        <x:v>0</x:v>
      </x:c>
      <x:c r="R71" s="131" t="n">
        <x:f>IF(A71="","",IF(O71&gt;0,ROUND(MAX(K71-L71,0)+P71+Q71,2),0))</x:f>
        <x:v>0</x:v>
      </x:c>
      <x:c r="S71" s="131" t="n">
        <x:f>IF(A71="","",IF(OR(N71="Paga",O71&gt;0),0,ROUND(IF(K71=0,0,G71*MAX(K71-L71,0)/K71)/(1+'Parâmetros'!$C$13)^((C71-$A$5)/30),2)))</x:f>
        <x:v>63.28</x:v>
      </x:c>
      <x:c r="T71" s="131" t="n">
        <x:f>IF(A71="","",0)</x:f>
        <x:v>0</x:v>
      </x:c>
      <x:c r="U71" s="131" t="n">
        <x:f>IF(A71="","",0)</x:f>
        <x:v>0</x:v>
      </x:c>
      <x:c r="V71" s="131" t="n">
        <x:f>IF(A71="","",IF(N71="Paga",0,IF(O71&gt;0,R71,S71)))</x:f>
        <x:v>63.28</x:v>
      </x:c>
      <x:c r="W71" s="131" t="n">
        <x:f>IF(A71="","",ROUND(MAX(D71-F71,0),2))</x:f>
        <x:v>8725.49</x:v>
      </x:c>
      <x:c r="X71" s="131" t="n">
        <x:f>IF(A71="","",ROUND(SUM($G71:$G$407),2))</x:f>
        <x:v>11550.32</x:v>
      </x:c>
      <x:c r="Y71" s="131" t="n">
        <x:f>IF(A71="","",ROUND(MAX(X71-D71,0),2))</x:f>
        <x:v>2780.27</x:v>
      </x:c>
      <x:c r="Z71" s="131" t="n">
        <x:f>IF(A71="","",ROUND(SUM($V71:$V$407),2))</x:f>
        <x:v>7259.01</x:v>
      </x:c>
      <x:c r="AA71" s="131" t="n">
        <x:f>IF(A71="","",ROUND(SUM($K71:$K$407)-Z71,2))</x:f>
        <x:v>60864.85</x:v>
      </x:c>
      <x:c r="AB71" s="77"/>
      <x:c r="AC71" s="36" t="str">
        <x:f>IF(A71="","",IF(O71&gt;0,"Vencido: saldo da fatura + mora",IF(O71&lt;=0,"Vincendo: VP da parcela financeira; comissão/proteção futuras isentas","")))</x:f>
        <x:v>Vincendo: VP da parcela financeira; comissão/proteção futuras isentas</x:v>
      </x:c>
    </x:row>
    <x:row r="72">
      <x:c r="A72" s="129" t="n">
        <x:f>IF(ROW()-7&lt;=Contrato!$C$16,ROW()-7,"")</x:f>
        <x:v>65</x:v>
      </x:c>
      <x:c r="B72" s="129" t="n">
        <x:f>IF(A72="","",Contrato!$C$16)</x:f>
        <x:v>209</x:v>
      </x:c>
      <x:c r="C72" s="130" t="n">
        <x:f>IF(A72="","",IF(AB72&lt;&gt;"",AB72,IF(Contrato!$C$14="Mensal",EDATE(Contrato!$C$13,A72-1),Contrato!$C$13+(A72-1)*IF(Contrato!$C$14="Quinzenal",14,IF(Contrato!$C$14="Semanal",7,1)))))</x:f>
        <x:v>46717</x:v>
      </x:c>
      <x:c r="D72" s="131" t="n">
        <x:f>IF(A72="","",W71)</x:f>
        <x:v>8725.49</x:v>
      </x:c>
      <x:c r="E72" s="131" t="n">
        <x:f>IF(A72="","",ROUND(D72*Simulador!$I$18,2))</x:f>
        <x:v>34.39</x:v>
      </x:c>
      <x:c r="F72" s="131" t="n">
        <x:f>IF(A72="","",ROUND(MIN(D72,MAX(G72-E72,0)),2))</x:f>
        <x:v>44.73</x:v>
      </x:c>
      <x:c r="G72" s="131" t="n">
        <x:f>IF(A72="","",IF(A72&lt;Contrato!$C$16,Contrato!$C$27,Contrato!$C$28))</x:f>
        <x:v>79.12</x:v>
      </x:c>
      <x:c r="H72" s="131" t="n">
        <x:f>IF(A72="","",Contrato!$C$29)</x:f>
        <x:v>199.99</x:v>
      </x:c>
      <x:c r="I72" s="131" t="n">
        <x:f>IF(A72="","",Contrato!$C$30)</x:f>
        <x:v>187.5</x:v>
      </x:c>
      <x:c r="J72" s="131" t="n">
        <x:f>IF(A72="","",Contrato!$C$31)</x:f>
        <x:v>0</x:v>
      </x:c>
      <x:c r="K72" s="131" t="n">
        <x:f>IF(A72="","",ROUND(SUM(G72:J72),2))</x:f>
        <x:v>466.61</x:v>
      </x:c>
      <x:c r="L72" s="80"/>
      <x:c r="M72" s="77"/>
      <x:c r="N72" s="29" t="str">
        <x:f>IF(A72="","",IF(L72&gt;=K72,"Paga",IF(L72&gt;0,"Paga parcialmente",IF(C72&lt;$A$5,"Vencida","Prevista"))))</x:f>
        <x:v>Prevista</x:v>
      </x:c>
      <x:c r="O72" s="29" t="n">
        <x:f>IF(A72="","",$A$5-C72)</x:f>
        <x:v>-457</x:v>
      </x:c>
      <x:c r="P72" s="131" t="n">
        <x:f>IF(A72="","",IF(AND(O72&gt;0,MAX(K72-L72,0)&gt;0,N72&lt;&gt;"Paga"),ROUND(MAX(K72-L72,0)*'Parâmetros'!$B$34,2),0))</x:f>
        <x:v>0</x:v>
      </x:c>
      <x:c r="Q72" s="131" t="n">
        <x:f>IF(A72="","",IF(AND(O72&gt;0,MAX(K72-L72,0)&gt;0,N72&lt;&gt;"Paga"),ROUND(MAX(K72-L72,0)*'Parâmetros'!$B$35*(O72/'Parâmetros'!$B$33),2),0))</x:f>
        <x:v>0</x:v>
      </x:c>
      <x:c r="R72" s="131" t="n">
        <x:f>IF(A72="","",IF(O72&gt;0,ROUND(MAX(K72-L72,0)+P72+Q72,2),0))</x:f>
        <x:v>0</x:v>
      </x:c>
      <x:c r="S72" s="131" t="n">
        <x:f>IF(A72="","",IF(OR(N72="Paga",O72&gt;0),0,ROUND(IF(K72=0,0,G72*MAX(K72-L72,0)/K72)/(1+'Parâmetros'!$C$13)^((C72-$A$5)/30),2)))</x:f>
        <x:v>63.06</x:v>
      </x:c>
      <x:c r="T72" s="131" t="n">
        <x:f>IF(A72="","",0)</x:f>
        <x:v>0</x:v>
      </x:c>
      <x:c r="U72" s="131" t="n">
        <x:f>IF(A72="","",0)</x:f>
        <x:v>0</x:v>
      </x:c>
      <x:c r="V72" s="131" t="n">
        <x:f>IF(A72="","",IF(N72="Paga",0,IF(O72&gt;0,R72,S72)))</x:f>
        <x:v>63.06</x:v>
      </x:c>
      <x:c r="W72" s="131" t="n">
        <x:f>IF(A72="","",ROUND(MAX(D72-F72,0),2))</x:f>
        <x:v>8680.76</x:v>
      </x:c>
      <x:c r="X72" s="131" t="n">
        <x:f>IF(A72="","",ROUND(SUM($G72:$G$407),2))</x:f>
        <x:v>11471.2</x:v>
      </x:c>
      <x:c r="Y72" s="131" t="n">
        <x:f>IF(A72="","",ROUND(MAX(X72-D72,0),2))</x:f>
        <x:v>2745.71</x:v>
      </x:c>
      <x:c r="Z72" s="131" t="n">
        <x:f>IF(A72="","",ROUND(SUM($V72:$V$407),2))</x:f>
        <x:v>7195.73</x:v>
      </x:c>
      <x:c r="AA72" s="131" t="n">
        <x:f>IF(A72="","",ROUND(SUM($K72:$K$407)-Z72,2))</x:f>
        <x:v>60461.52</x:v>
      </x:c>
      <x:c r="AB72" s="77"/>
      <x:c r="AC72" s="36" t="str">
        <x:f>IF(A72="","",IF(O72&gt;0,"Vencido: saldo da fatura + mora",IF(O72&lt;=0,"Vincendo: VP da parcela financeira; comissão/proteção futuras isentas","")))</x:f>
        <x:v>Vincendo: VP da parcela financeira; comissão/proteção futuras isentas</x:v>
      </x:c>
    </x:row>
    <x:row r="73">
      <x:c r="A73" s="129" t="n">
        <x:f>IF(ROW()-7&lt;=Contrato!$C$16,ROW()-7,"")</x:f>
        <x:v>66</x:v>
      </x:c>
      <x:c r="B73" s="129" t="n">
        <x:f>IF(A73="","",Contrato!$C$16)</x:f>
        <x:v>209</x:v>
      </x:c>
      <x:c r="C73" s="130" t="n">
        <x:f>IF(A73="","",IF(AB73&lt;&gt;"",AB73,IF(Contrato!$C$14="Mensal",EDATE(Contrato!$C$13,A73-1),Contrato!$C$13+(A73-1)*IF(Contrato!$C$14="Quinzenal",14,IF(Contrato!$C$14="Semanal",7,1)))))</x:f>
        <x:v>46724</x:v>
      </x:c>
      <x:c r="D73" s="131" t="n">
        <x:f>IF(A73="","",W72)</x:f>
        <x:v>8680.76</x:v>
      </x:c>
      <x:c r="E73" s="131" t="n">
        <x:f>IF(A73="","",ROUND(D73*Simulador!$I$18,2))</x:f>
        <x:v>34.21</x:v>
      </x:c>
      <x:c r="F73" s="131" t="n">
        <x:f>IF(A73="","",ROUND(MIN(D73,MAX(G73-E73,0)),2))</x:f>
        <x:v>44.91</x:v>
      </x:c>
      <x:c r="G73" s="131" t="n">
        <x:f>IF(A73="","",IF(A73&lt;Contrato!$C$16,Contrato!$C$27,Contrato!$C$28))</x:f>
        <x:v>79.12</x:v>
      </x:c>
      <x:c r="H73" s="131" t="n">
        <x:f>IF(A73="","",Contrato!$C$29)</x:f>
        <x:v>199.99</x:v>
      </x:c>
      <x:c r="I73" s="131" t="n">
        <x:f>IF(A73="","",Contrato!$C$30)</x:f>
        <x:v>187.5</x:v>
      </x:c>
      <x:c r="J73" s="131" t="n">
        <x:f>IF(A73="","",Contrato!$C$31)</x:f>
        <x:v>0</x:v>
      </x:c>
      <x:c r="K73" s="131" t="n">
        <x:f>IF(A73="","",ROUND(SUM(G73:J73),2))</x:f>
        <x:v>466.61</x:v>
      </x:c>
      <x:c r="L73" s="80"/>
      <x:c r="M73" s="77"/>
      <x:c r="N73" s="29" t="str">
        <x:f>IF(A73="","",IF(L73&gt;=K73,"Paga",IF(L73&gt;0,"Paga parcialmente",IF(C73&lt;$A$5,"Vencida","Prevista"))))</x:f>
        <x:v>Prevista</x:v>
      </x:c>
      <x:c r="O73" s="29" t="n">
        <x:f>IF(A73="","",$A$5-C73)</x:f>
        <x:v>-464</x:v>
      </x:c>
      <x:c r="P73" s="131" t="n">
        <x:f>IF(A73="","",IF(AND(O73&gt;0,MAX(K73-L73,0)&gt;0,N73&lt;&gt;"Paga"),ROUND(MAX(K73-L73,0)*'Parâmetros'!$B$34,2),0))</x:f>
        <x:v>0</x:v>
      </x:c>
      <x:c r="Q73" s="131" t="n">
        <x:f>IF(A73="","",IF(AND(O73&gt;0,MAX(K73-L73,0)&gt;0,N73&lt;&gt;"Paga"),ROUND(MAX(K73-L73,0)*'Parâmetros'!$B$35*(O73/'Parâmetros'!$B$33),2),0))</x:f>
        <x:v>0</x:v>
      </x:c>
      <x:c r="R73" s="131" t="n">
        <x:f>IF(A73="","",IF(O73&gt;0,ROUND(MAX(K73-L73,0)+P73+Q73,2),0))</x:f>
        <x:v>0</x:v>
      </x:c>
      <x:c r="S73" s="131" t="n">
        <x:f>IF(A73="","",IF(OR(N73="Paga",O73&gt;0),0,ROUND(IF(K73=0,0,G73*MAX(K73-L73,0)/K73)/(1+'Parâmetros'!$C$13)^((C73-$A$5)/30),2)))</x:f>
        <x:v>62.85</x:v>
      </x:c>
      <x:c r="T73" s="131" t="n">
        <x:f>IF(A73="","",0)</x:f>
        <x:v>0</x:v>
      </x:c>
      <x:c r="U73" s="131" t="n">
        <x:f>IF(A73="","",0)</x:f>
        <x:v>0</x:v>
      </x:c>
      <x:c r="V73" s="131" t="n">
        <x:f>IF(A73="","",IF(N73="Paga",0,IF(O73&gt;0,R73,S73)))</x:f>
        <x:v>62.85</x:v>
      </x:c>
      <x:c r="W73" s="131" t="n">
        <x:f>IF(A73="","",ROUND(MAX(D73-F73,0),2))</x:f>
        <x:v>8635.85</x:v>
      </x:c>
      <x:c r="X73" s="131" t="n">
        <x:f>IF(A73="","",ROUND(SUM($G73:$G$407),2))</x:f>
        <x:v>11392.08</x:v>
      </x:c>
      <x:c r="Y73" s="131" t="n">
        <x:f>IF(A73="","",ROUND(MAX(X73-D73,0),2))</x:f>
        <x:v>2711.32</x:v>
      </x:c>
      <x:c r="Z73" s="131" t="n">
        <x:f>IF(A73="","",ROUND(SUM($V73:$V$407),2))</x:f>
        <x:v>7132.67</x:v>
      </x:c>
      <x:c r="AA73" s="131" t="n">
        <x:f>IF(A73="","",ROUND(SUM($K73:$K$407)-Z73,2))</x:f>
        <x:v>60057.97</x:v>
      </x:c>
      <x:c r="AB73" s="77"/>
      <x:c r="AC73" s="36" t="str">
        <x:f>IF(A73="","",IF(O73&gt;0,"Vencido: saldo da fatura + mora",IF(O73&lt;=0,"Vincendo: VP da parcela financeira; comissão/proteção futuras isentas","")))</x:f>
        <x:v>Vincendo: VP da parcela financeira; comissão/proteção futuras isentas</x:v>
      </x:c>
    </x:row>
    <x:row r="74">
      <x:c r="A74" s="129" t="n">
        <x:f>IF(ROW()-7&lt;=Contrato!$C$16,ROW()-7,"")</x:f>
        <x:v>67</x:v>
      </x:c>
      <x:c r="B74" s="129" t="n">
        <x:f>IF(A74="","",Contrato!$C$16)</x:f>
        <x:v>209</x:v>
      </x:c>
      <x:c r="C74" s="130" t="n">
        <x:f>IF(A74="","",IF(AB74&lt;&gt;"",AB74,IF(Contrato!$C$14="Mensal",EDATE(Contrato!$C$13,A74-1),Contrato!$C$13+(A74-1)*IF(Contrato!$C$14="Quinzenal",14,IF(Contrato!$C$14="Semanal",7,1)))))</x:f>
        <x:v>46731</x:v>
      </x:c>
      <x:c r="D74" s="131" t="n">
        <x:f>IF(A74="","",W73)</x:f>
        <x:v>8635.85</x:v>
      </x:c>
      <x:c r="E74" s="131" t="n">
        <x:f>IF(A74="","",ROUND(D74*Simulador!$I$18,2))</x:f>
        <x:v>34.03</x:v>
      </x:c>
      <x:c r="F74" s="131" t="n">
        <x:f>IF(A74="","",ROUND(MIN(D74,MAX(G74-E74,0)),2))</x:f>
        <x:v>45.09</x:v>
      </x:c>
      <x:c r="G74" s="131" t="n">
        <x:f>IF(A74="","",IF(A74&lt;Contrato!$C$16,Contrato!$C$27,Contrato!$C$28))</x:f>
        <x:v>79.12</x:v>
      </x:c>
      <x:c r="H74" s="131" t="n">
        <x:f>IF(A74="","",Contrato!$C$29)</x:f>
        <x:v>199.99</x:v>
      </x:c>
      <x:c r="I74" s="131" t="n">
        <x:f>IF(A74="","",Contrato!$C$30)</x:f>
        <x:v>187.5</x:v>
      </x:c>
      <x:c r="J74" s="131" t="n">
        <x:f>IF(A74="","",Contrato!$C$31)</x:f>
        <x:v>0</x:v>
      </x:c>
      <x:c r="K74" s="131" t="n">
        <x:f>IF(A74="","",ROUND(SUM(G74:J74),2))</x:f>
        <x:v>466.61</x:v>
      </x:c>
      <x:c r="L74" s="80"/>
      <x:c r="M74" s="77"/>
      <x:c r="N74" s="29" t="str">
        <x:f>IF(A74="","",IF(L74&gt;=K74,"Paga",IF(L74&gt;0,"Paga parcialmente",IF(C74&lt;$A$5,"Vencida","Prevista"))))</x:f>
        <x:v>Prevista</x:v>
      </x:c>
      <x:c r="O74" s="29" t="n">
        <x:f>IF(A74="","",$A$5-C74)</x:f>
        <x:v>-471</x:v>
      </x:c>
      <x:c r="P74" s="131" t="n">
        <x:f>IF(A74="","",IF(AND(O74&gt;0,MAX(K74-L74,0)&gt;0,N74&lt;&gt;"Paga"),ROUND(MAX(K74-L74,0)*'Parâmetros'!$B$34,2),0))</x:f>
        <x:v>0</x:v>
      </x:c>
      <x:c r="Q74" s="131" t="n">
        <x:f>IF(A74="","",IF(AND(O74&gt;0,MAX(K74-L74,0)&gt;0,N74&lt;&gt;"Paga"),ROUND(MAX(K74-L74,0)*'Parâmetros'!$B$35*(O74/'Parâmetros'!$B$33),2),0))</x:f>
        <x:v>0</x:v>
      </x:c>
      <x:c r="R74" s="131" t="n">
        <x:f>IF(A74="","",IF(O74&gt;0,ROUND(MAX(K74-L74,0)+P74+Q74,2),0))</x:f>
        <x:v>0</x:v>
      </x:c>
      <x:c r="S74" s="131" t="n">
        <x:f>IF(A74="","",IF(OR(N74="Paga",O74&gt;0),0,ROUND(IF(K74=0,0,G74*MAX(K74-L74,0)/K74)/(1+'Parâmetros'!$C$13)^((C74-$A$5)/30),2)))</x:f>
        <x:v>62.63</x:v>
      </x:c>
      <x:c r="T74" s="131" t="n">
        <x:f>IF(A74="","",0)</x:f>
        <x:v>0</x:v>
      </x:c>
      <x:c r="U74" s="131" t="n">
        <x:f>IF(A74="","",0)</x:f>
        <x:v>0</x:v>
      </x:c>
      <x:c r="V74" s="131" t="n">
        <x:f>IF(A74="","",IF(N74="Paga",0,IF(O74&gt;0,R74,S74)))</x:f>
        <x:v>62.63</x:v>
      </x:c>
      <x:c r="W74" s="131" t="n">
        <x:f>IF(A74="","",ROUND(MAX(D74-F74,0),2))</x:f>
        <x:v>8590.76</x:v>
      </x:c>
      <x:c r="X74" s="131" t="n">
        <x:f>IF(A74="","",ROUND(SUM($G74:$G$407),2))</x:f>
        <x:v>11312.96</x:v>
      </x:c>
      <x:c r="Y74" s="131" t="n">
        <x:f>IF(A74="","",ROUND(MAX(X74-D74,0),2))</x:f>
        <x:v>2677.11</x:v>
      </x:c>
      <x:c r="Z74" s="131" t="n">
        <x:f>IF(A74="","",ROUND(SUM($V74:$V$407),2))</x:f>
        <x:v>7069.82</x:v>
      </x:c>
      <x:c r="AA74" s="131" t="n">
        <x:f>IF(A74="","",ROUND(SUM($K74:$K$407)-Z74,2))</x:f>
        <x:v>59654.21</x:v>
      </x:c>
      <x:c r="AB74" s="77"/>
      <x:c r="AC74" s="36" t="str">
        <x:f>IF(A74="","",IF(O74&gt;0,"Vencido: saldo da fatura + mora",IF(O74&lt;=0,"Vincendo: VP da parcela financeira; comissão/proteção futuras isentas","")))</x:f>
        <x:v>Vincendo: VP da parcela financeira; comissão/proteção futuras isentas</x:v>
      </x:c>
    </x:row>
    <x:row r="75">
      <x:c r="A75" s="129" t="n">
        <x:f>IF(ROW()-7&lt;=Contrato!$C$16,ROW()-7,"")</x:f>
        <x:v>68</x:v>
      </x:c>
      <x:c r="B75" s="129" t="n">
        <x:f>IF(A75="","",Contrato!$C$16)</x:f>
        <x:v>209</x:v>
      </x:c>
      <x:c r="C75" s="130" t="n">
        <x:f>IF(A75="","",IF(AB75&lt;&gt;"",AB75,IF(Contrato!$C$14="Mensal",EDATE(Contrato!$C$13,A75-1),Contrato!$C$13+(A75-1)*IF(Contrato!$C$14="Quinzenal",14,IF(Contrato!$C$14="Semanal",7,1)))))</x:f>
        <x:v>46738</x:v>
      </x:c>
      <x:c r="D75" s="131" t="n">
        <x:f>IF(A75="","",W74)</x:f>
        <x:v>8590.76</x:v>
      </x:c>
      <x:c r="E75" s="131" t="n">
        <x:f>IF(A75="","",ROUND(D75*Simulador!$I$18,2))</x:f>
        <x:v>33.86</x:v>
      </x:c>
      <x:c r="F75" s="131" t="n">
        <x:f>IF(A75="","",ROUND(MIN(D75,MAX(G75-E75,0)),2))</x:f>
        <x:v>45.26</x:v>
      </x:c>
      <x:c r="G75" s="131" t="n">
        <x:f>IF(A75="","",IF(A75&lt;Contrato!$C$16,Contrato!$C$27,Contrato!$C$28))</x:f>
        <x:v>79.12</x:v>
      </x:c>
      <x:c r="H75" s="131" t="n">
        <x:f>IF(A75="","",Contrato!$C$29)</x:f>
        <x:v>199.99</x:v>
      </x:c>
      <x:c r="I75" s="131" t="n">
        <x:f>IF(A75="","",Contrato!$C$30)</x:f>
        <x:v>187.5</x:v>
      </x:c>
      <x:c r="J75" s="131" t="n">
        <x:f>IF(A75="","",Contrato!$C$31)</x:f>
        <x:v>0</x:v>
      </x:c>
      <x:c r="K75" s="131" t="n">
        <x:f>IF(A75="","",ROUND(SUM(G75:J75),2))</x:f>
        <x:v>466.61</x:v>
      </x:c>
      <x:c r="L75" s="80"/>
      <x:c r="M75" s="77"/>
      <x:c r="N75" s="29" t="str">
        <x:f>IF(A75="","",IF(L75&gt;=K75,"Paga",IF(L75&gt;0,"Paga parcialmente",IF(C75&lt;$A$5,"Vencida","Prevista"))))</x:f>
        <x:v>Prevista</x:v>
      </x:c>
      <x:c r="O75" s="29" t="n">
        <x:f>IF(A75="","",$A$5-C75)</x:f>
        <x:v>-478</x:v>
      </x:c>
      <x:c r="P75" s="131" t="n">
        <x:f>IF(A75="","",IF(AND(O75&gt;0,MAX(K75-L75,0)&gt;0,N75&lt;&gt;"Paga"),ROUND(MAX(K75-L75,0)*'Parâmetros'!$B$34,2),0))</x:f>
        <x:v>0</x:v>
      </x:c>
      <x:c r="Q75" s="131" t="n">
        <x:f>IF(A75="","",IF(AND(O75&gt;0,MAX(K75-L75,0)&gt;0,N75&lt;&gt;"Paga"),ROUND(MAX(K75-L75,0)*'Parâmetros'!$B$35*(O75/'Parâmetros'!$B$33),2),0))</x:f>
        <x:v>0</x:v>
      </x:c>
      <x:c r="R75" s="131" t="n">
        <x:f>IF(A75="","",IF(O75&gt;0,ROUND(MAX(K75-L75,0)+P75+Q75,2),0))</x:f>
        <x:v>0</x:v>
      </x:c>
      <x:c r="S75" s="131" t="n">
        <x:f>IF(A75="","",IF(OR(N75="Paga",O75&gt;0),0,ROUND(IF(K75=0,0,G75*MAX(K75-L75,0)/K75)/(1+'Parâmetros'!$C$13)^((C75-$A$5)/30),2)))</x:f>
        <x:v>62.41</x:v>
      </x:c>
      <x:c r="T75" s="131" t="n">
        <x:f>IF(A75="","",0)</x:f>
        <x:v>0</x:v>
      </x:c>
      <x:c r="U75" s="131" t="n">
        <x:f>IF(A75="","",0)</x:f>
        <x:v>0</x:v>
      </x:c>
      <x:c r="V75" s="131" t="n">
        <x:f>IF(A75="","",IF(N75="Paga",0,IF(O75&gt;0,R75,S75)))</x:f>
        <x:v>62.41</x:v>
      </x:c>
      <x:c r="W75" s="131" t="n">
        <x:f>IF(A75="","",ROUND(MAX(D75-F75,0),2))</x:f>
        <x:v>8545.5</x:v>
      </x:c>
      <x:c r="X75" s="131" t="n">
        <x:f>IF(A75="","",ROUND(SUM($G75:$G$407),2))</x:f>
        <x:v>11233.84</x:v>
      </x:c>
      <x:c r="Y75" s="131" t="n">
        <x:f>IF(A75="","",ROUND(MAX(X75-D75,0),2))</x:f>
        <x:v>2643.08</x:v>
      </x:c>
      <x:c r="Z75" s="131" t="n">
        <x:f>IF(A75="","",ROUND(SUM($V75:$V$407),2))</x:f>
        <x:v>7007.19</x:v>
      </x:c>
      <x:c r="AA75" s="131" t="n">
        <x:f>IF(A75="","",ROUND(SUM($K75:$K$407)-Z75,2))</x:f>
        <x:v>59250.23</x:v>
      </x:c>
      <x:c r="AB75" s="77"/>
      <x:c r="AC75" s="36" t="str">
        <x:f>IF(A75="","",IF(O75&gt;0,"Vencido: saldo da fatura + mora",IF(O75&lt;=0,"Vincendo: VP da parcela financeira; comissão/proteção futuras isentas","")))</x:f>
        <x:v>Vincendo: VP da parcela financeira; comissão/proteção futuras isentas</x:v>
      </x:c>
    </x:row>
    <x:row r="76">
      <x:c r="A76" s="129" t="n">
        <x:f>IF(ROW()-7&lt;=Contrato!$C$16,ROW()-7,"")</x:f>
        <x:v>69</x:v>
      </x:c>
      <x:c r="B76" s="129" t="n">
        <x:f>IF(A76="","",Contrato!$C$16)</x:f>
        <x:v>209</x:v>
      </x:c>
      <x:c r="C76" s="130" t="n">
        <x:f>IF(A76="","",IF(AB76&lt;&gt;"",AB76,IF(Contrato!$C$14="Mensal",EDATE(Contrato!$C$13,A76-1),Contrato!$C$13+(A76-1)*IF(Contrato!$C$14="Quinzenal",14,IF(Contrato!$C$14="Semanal",7,1)))))</x:f>
        <x:v>46745</x:v>
      </x:c>
      <x:c r="D76" s="131" t="n">
        <x:f>IF(A76="","",W75)</x:f>
        <x:v>8545.5</x:v>
      </x:c>
      <x:c r="E76" s="131" t="n">
        <x:f>IF(A76="","",ROUND(D76*Simulador!$I$18,2))</x:f>
        <x:v>33.68</x:v>
      </x:c>
      <x:c r="F76" s="131" t="n">
        <x:f>IF(A76="","",ROUND(MIN(D76,MAX(G76-E76,0)),2))</x:f>
        <x:v>45.44</x:v>
      </x:c>
      <x:c r="G76" s="131" t="n">
        <x:f>IF(A76="","",IF(A76&lt;Contrato!$C$16,Contrato!$C$27,Contrato!$C$28))</x:f>
        <x:v>79.12</x:v>
      </x:c>
      <x:c r="H76" s="131" t="n">
        <x:f>IF(A76="","",Contrato!$C$29)</x:f>
        <x:v>199.99</x:v>
      </x:c>
      <x:c r="I76" s="131" t="n">
        <x:f>IF(A76="","",Contrato!$C$30)</x:f>
        <x:v>187.5</x:v>
      </x:c>
      <x:c r="J76" s="131" t="n">
        <x:f>IF(A76="","",Contrato!$C$31)</x:f>
        <x:v>0</x:v>
      </x:c>
      <x:c r="K76" s="131" t="n">
        <x:f>IF(A76="","",ROUND(SUM(G76:J76),2))</x:f>
        <x:v>466.61</x:v>
      </x:c>
      <x:c r="L76" s="80"/>
      <x:c r="M76" s="77"/>
      <x:c r="N76" s="29" t="str">
        <x:f>IF(A76="","",IF(L76&gt;=K76,"Paga",IF(L76&gt;0,"Paga parcialmente",IF(C76&lt;$A$5,"Vencida","Prevista"))))</x:f>
        <x:v>Prevista</x:v>
      </x:c>
      <x:c r="O76" s="29" t="n">
        <x:f>IF(A76="","",$A$5-C76)</x:f>
        <x:v>-485</x:v>
      </x:c>
      <x:c r="P76" s="131" t="n">
        <x:f>IF(A76="","",IF(AND(O76&gt;0,MAX(K76-L76,0)&gt;0,N76&lt;&gt;"Paga"),ROUND(MAX(K76-L76,0)*'Parâmetros'!$B$34,2),0))</x:f>
        <x:v>0</x:v>
      </x:c>
      <x:c r="Q76" s="131" t="n">
        <x:f>IF(A76="","",IF(AND(O76&gt;0,MAX(K76-L76,0)&gt;0,N76&lt;&gt;"Paga"),ROUND(MAX(K76-L76,0)*'Parâmetros'!$B$35*(O76/'Parâmetros'!$B$33),2),0))</x:f>
        <x:v>0</x:v>
      </x:c>
      <x:c r="R76" s="131" t="n">
        <x:f>IF(A76="","",IF(O76&gt;0,ROUND(MAX(K76-L76,0)+P76+Q76,2),0))</x:f>
        <x:v>0</x:v>
      </x:c>
      <x:c r="S76" s="131" t="n">
        <x:f>IF(A76="","",IF(OR(N76="Paga",O76&gt;0),0,ROUND(IF(K76=0,0,G76*MAX(K76-L76,0)/K76)/(1+'Parâmetros'!$C$13)^((C76-$A$5)/30),2)))</x:f>
        <x:v>62.19</x:v>
      </x:c>
      <x:c r="T76" s="131" t="n">
        <x:f>IF(A76="","",0)</x:f>
        <x:v>0</x:v>
      </x:c>
      <x:c r="U76" s="131" t="n">
        <x:f>IF(A76="","",0)</x:f>
        <x:v>0</x:v>
      </x:c>
      <x:c r="V76" s="131" t="n">
        <x:f>IF(A76="","",IF(N76="Paga",0,IF(O76&gt;0,R76,S76)))</x:f>
        <x:v>62.19</x:v>
      </x:c>
      <x:c r="W76" s="131" t="n">
        <x:f>IF(A76="","",ROUND(MAX(D76-F76,0),2))</x:f>
        <x:v>8500.06</x:v>
      </x:c>
      <x:c r="X76" s="131" t="n">
        <x:f>IF(A76="","",ROUND(SUM($G76:$G$407),2))</x:f>
        <x:v>11154.72</x:v>
      </x:c>
      <x:c r="Y76" s="131" t="n">
        <x:f>IF(A76="","",ROUND(MAX(X76-D76,0),2))</x:f>
        <x:v>2609.22</x:v>
      </x:c>
      <x:c r="Z76" s="131" t="n">
        <x:f>IF(A76="","",ROUND(SUM($V76:$V$407),2))</x:f>
        <x:v>6944.78</x:v>
      </x:c>
      <x:c r="AA76" s="131" t="n">
        <x:f>IF(A76="","",ROUND(SUM($K76:$K$407)-Z76,2))</x:f>
        <x:v>58846.03</x:v>
      </x:c>
      <x:c r="AB76" s="77"/>
      <x:c r="AC76" s="36" t="str">
        <x:f>IF(A76="","",IF(O76&gt;0,"Vencido: saldo da fatura + mora",IF(O76&lt;=0,"Vincendo: VP da parcela financeira; comissão/proteção futuras isentas","")))</x:f>
        <x:v>Vincendo: VP da parcela financeira; comissão/proteção futuras isentas</x:v>
      </x:c>
    </x:row>
    <x:row r="77">
      <x:c r="A77" s="129" t="n">
        <x:f>IF(ROW()-7&lt;=Contrato!$C$16,ROW()-7,"")</x:f>
        <x:v>70</x:v>
      </x:c>
      <x:c r="B77" s="129" t="n">
        <x:f>IF(A77="","",Contrato!$C$16)</x:f>
        <x:v>209</x:v>
      </x:c>
      <x:c r="C77" s="130" t="n">
        <x:f>IF(A77="","",IF(AB77&lt;&gt;"",AB77,IF(Contrato!$C$14="Mensal",EDATE(Contrato!$C$13,A77-1),Contrato!$C$13+(A77-1)*IF(Contrato!$C$14="Quinzenal",14,IF(Contrato!$C$14="Semanal",7,1)))))</x:f>
        <x:v>46752</x:v>
      </x:c>
      <x:c r="D77" s="131" t="n">
        <x:f>IF(A77="","",W76)</x:f>
        <x:v>8500.06</x:v>
      </x:c>
      <x:c r="E77" s="131" t="n">
        <x:f>IF(A77="","",ROUND(D77*Simulador!$I$18,2))</x:f>
        <x:v>33.5</x:v>
      </x:c>
      <x:c r="F77" s="131" t="n">
        <x:f>IF(A77="","",ROUND(MIN(D77,MAX(G77-E77,0)),2))</x:f>
        <x:v>45.62</x:v>
      </x:c>
      <x:c r="G77" s="131" t="n">
        <x:f>IF(A77="","",IF(A77&lt;Contrato!$C$16,Contrato!$C$27,Contrato!$C$28))</x:f>
        <x:v>79.12</x:v>
      </x:c>
      <x:c r="H77" s="131" t="n">
        <x:f>IF(A77="","",Contrato!$C$29)</x:f>
        <x:v>199.99</x:v>
      </x:c>
      <x:c r="I77" s="131" t="n">
        <x:f>IF(A77="","",Contrato!$C$30)</x:f>
        <x:v>187.5</x:v>
      </x:c>
      <x:c r="J77" s="131" t="n">
        <x:f>IF(A77="","",Contrato!$C$31)</x:f>
        <x:v>0</x:v>
      </x:c>
      <x:c r="K77" s="131" t="n">
        <x:f>IF(A77="","",ROUND(SUM(G77:J77),2))</x:f>
        <x:v>466.61</x:v>
      </x:c>
      <x:c r="L77" s="80"/>
      <x:c r="M77" s="77"/>
      <x:c r="N77" s="29" t="str">
        <x:f>IF(A77="","",IF(L77&gt;=K77,"Paga",IF(L77&gt;0,"Paga parcialmente",IF(C77&lt;$A$5,"Vencida","Prevista"))))</x:f>
        <x:v>Prevista</x:v>
      </x:c>
      <x:c r="O77" s="29" t="n">
        <x:f>IF(A77="","",$A$5-C77)</x:f>
        <x:v>-492</x:v>
      </x:c>
      <x:c r="P77" s="131" t="n">
        <x:f>IF(A77="","",IF(AND(O77&gt;0,MAX(K77-L77,0)&gt;0,N77&lt;&gt;"Paga"),ROUND(MAX(K77-L77,0)*'Parâmetros'!$B$34,2),0))</x:f>
        <x:v>0</x:v>
      </x:c>
      <x:c r="Q77" s="131" t="n">
        <x:f>IF(A77="","",IF(AND(O77&gt;0,MAX(K77-L77,0)&gt;0,N77&lt;&gt;"Paga"),ROUND(MAX(K77-L77,0)*'Parâmetros'!$B$35*(O77/'Parâmetros'!$B$33),2),0))</x:f>
        <x:v>0</x:v>
      </x:c>
      <x:c r="R77" s="131" t="n">
        <x:f>IF(A77="","",IF(O77&gt;0,ROUND(MAX(K77-L77,0)+P77+Q77,2),0))</x:f>
        <x:v>0</x:v>
      </x:c>
      <x:c r="S77" s="131" t="n">
        <x:f>IF(A77="","",IF(OR(N77="Paga",O77&gt;0),0,ROUND(IF(K77=0,0,G77*MAX(K77-L77,0)/K77)/(1+'Parâmetros'!$C$13)^((C77-$A$5)/30),2)))</x:f>
        <x:v>61.98</x:v>
      </x:c>
      <x:c r="T77" s="131" t="n">
        <x:f>IF(A77="","",0)</x:f>
        <x:v>0</x:v>
      </x:c>
      <x:c r="U77" s="131" t="n">
        <x:f>IF(A77="","",0)</x:f>
        <x:v>0</x:v>
      </x:c>
      <x:c r="V77" s="131" t="n">
        <x:f>IF(A77="","",IF(N77="Paga",0,IF(O77&gt;0,R77,S77)))</x:f>
        <x:v>61.98</x:v>
      </x:c>
      <x:c r="W77" s="131" t="n">
        <x:f>IF(A77="","",ROUND(MAX(D77-F77,0),2))</x:f>
        <x:v>8454.44</x:v>
      </x:c>
      <x:c r="X77" s="131" t="n">
        <x:f>IF(A77="","",ROUND(SUM($G77:$G$407),2))</x:f>
        <x:v>11075.6</x:v>
      </x:c>
      <x:c r="Y77" s="131" t="n">
        <x:f>IF(A77="","",ROUND(MAX(X77-D77,0),2))</x:f>
        <x:v>2575.54</x:v>
      </x:c>
      <x:c r="Z77" s="131" t="n">
        <x:f>IF(A77="","",ROUND(SUM($V77:$V$407),2))</x:f>
        <x:v>6882.59</x:v>
      </x:c>
      <x:c r="AA77" s="131" t="n">
        <x:f>IF(A77="","",ROUND(SUM($K77:$K$407)-Z77,2))</x:f>
        <x:v>58441.61</x:v>
      </x:c>
      <x:c r="AB77" s="77"/>
      <x:c r="AC77" s="36" t="str">
        <x:f>IF(A77="","",IF(O77&gt;0,"Vencido: saldo da fatura + mora",IF(O77&lt;=0,"Vincendo: VP da parcela financeira; comissão/proteção futuras isentas","")))</x:f>
        <x:v>Vincendo: VP da parcela financeira; comissão/proteção futuras isentas</x:v>
      </x:c>
    </x:row>
    <x:row r="78">
      <x:c r="A78" s="129" t="n">
        <x:f>IF(ROW()-7&lt;=Contrato!$C$16,ROW()-7,"")</x:f>
        <x:v>71</x:v>
      </x:c>
      <x:c r="B78" s="129" t="n">
        <x:f>IF(A78="","",Contrato!$C$16)</x:f>
        <x:v>209</x:v>
      </x:c>
      <x:c r="C78" s="130" t="n">
        <x:f>IF(A78="","",IF(AB78&lt;&gt;"",AB78,IF(Contrato!$C$14="Mensal",EDATE(Contrato!$C$13,A78-1),Contrato!$C$13+(A78-1)*IF(Contrato!$C$14="Quinzenal",14,IF(Contrato!$C$14="Semanal",7,1)))))</x:f>
        <x:v>46759</x:v>
      </x:c>
      <x:c r="D78" s="131" t="n">
        <x:f>IF(A78="","",W77)</x:f>
        <x:v>8454.44</x:v>
      </x:c>
      <x:c r="E78" s="131" t="n">
        <x:f>IF(A78="","",ROUND(D78*Simulador!$I$18,2))</x:f>
        <x:v>33.32</x:v>
      </x:c>
      <x:c r="F78" s="131" t="n">
        <x:f>IF(A78="","",ROUND(MIN(D78,MAX(G78-E78,0)),2))</x:f>
        <x:v>45.8</x:v>
      </x:c>
      <x:c r="G78" s="131" t="n">
        <x:f>IF(A78="","",IF(A78&lt;Contrato!$C$16,Contrato!$C$27,Contrato!$C$28))</x:f>
        <x:v>79.12</x:v>
      </x:c>
      <x:c r="H78" s="131" t="n">
        <x:f>IF(A78="","",Contrato!$C$29)</x:f>
        <x:v>199.99</x:v>
      </x:c>
      <x:c r="I78" s="131" t="n">
        <x:f>IF(A78="","",Contrato!$C$30)</x:f>
        <x:v>187.5</x:v>
      </x:c>
      <x:c r="J78" s="131" t="n">
        <x:f>IF(A78="","",Contrato!$C$31)</x:f>
        <x:v>0</x:v>
      </x:c>
      <x:c r="K78" s="131" t="n">
        <x:f>IF(A78="","",ROUND(SUM(G78:J78),2))</x:f>
        <x:v>466.61</x:v>
      </x:c>
      <x:c r="L78" s="80"/>
      <x:c r="M78" s="77"/>
      <x:c r="N78" s="29" t="str">
        <x:f>IF(A78="","",IF(L78&gt;=K78,"Paga",IF(L78&gt;0,"Paga parcialmente",IF(C78&lt;$A$5,"Vencida","Prevista"))))</x:f>
        <x:v>Prevista</x:v>
      </x:c>
      <x:c r="O78" s="29" t="n">
        <x:f>IF(A78="","",$A$5-C78)</x:f>
        <x:v>-499</x:v>
      </x:c>
      <x:c r="P78" s="131" t="n">
        <x:f>IF(A78="","",IF(AND(O78&gt;0,MAX(K78-L78,0)&gt;0,N78&lt;&gt;"Paga"),ROUND(MAX(K78-L78,0)*'Parâmetros'!$B$34,2),0))</x:f>
        <x:v>0</x:v>
      </x:c>
      <x:c r="Q78" s="131" t="n">
        <x:f>IF(A78="","",IF(AND(O78&gt;0,MAX(K78-L78,0)&gt;0,N78&lt;&gt;"Paga"),ROUND(MAX(K78-L78,0)*'Parâmetros'!$B$35*(O78/'Parâmetros'!$B$33),2),0))</x:f>
        <x:v>0</x:v>
      </x:c>
      <x:c r="R78" s="131" t="n">
        <x:f>IF(A78="","",IF(O78&gt;0,ROUND(MAX(K78-L78,0)+P78+Q78,2),0))</x:f>
        <x:v>0</x:v>
      </x:c>
      <x:c r="S78" s="131" t="n">
        <x:f>IF(A78="","",IF(OR(N78="Paga",O78&gt;0),0,ROUND(IF(K78=0,0,G78*MAX(K78-L78,0)/K78)/(1+'Parâmetros'!$C$13)^((C78-$A$5)/30),2)))</x:f>
        <x:v>61.76</x:v>
      </x:c>
      <x:c r="T78" s="131" t="n">
        <x:f>IF(A78="","",0)</x:f>
        <x:v>0</x:v>
      </x:c>
      <x:c r="U78" s="131" t="n">
        <x:f>IF(A78="","",0)</x:f>
        <x:v>0</x:v>
      </x:c>
      <x:c r="V78" s="131" t="n">
        <x:f>IF(A78="","",IF(N78="Paga",0,IF(O78&gt;0,R78,S78)))</x:f>
        <x:v>61.76</x:v>
      </x:c>
      <x:c r="W78" s="131" t="n">
        <x:f>IF(A78="","",ROUND(MAX(D78-F78,0),2))</x:f>
        <x:v>8408.64</x:v>
      </x:c>
      <x:c r="X78" s="131" t="n">
        <x:f>IF(A78="","",ROUND(SUM($G78:$G$407),2))</x:f>
        <x:v>10996.48</x:v>
      </x:c>
      <x:c r="Y78" s="131" t="n">
        <x:f>IF(A78="","",ROUND(MAX(X78-D78,0),2))</x:f>
        <x:v>2542.04</x:v>
      </x:c>
      <x:c r="Z78" s="131" t="n">
        <x:f>IF(A78="","",ROUND(SUM($V78:$V$407),2))</x:f>
        <x:v>6820.61</x:v>
      </x:c>
      <x:c r="AA78" s="131" t="n">
        <x:f>IF(A78="","",ROUND(SUM($K78:$K$407)-Z78,2))</x:f>
        <x:v>58036.98</x:v>
      </x:c>
      <x:c r="AB78" s="77"/>
      <x:c r="AC78" s="36" t="str">
        <x:f>IF(A78="","",IF(O78&gt;0,"Vencido: saldo da fatura + mora",IF(O78&lt;=0,"Vincendo: VP da parcela financeira; comissão/proteção futuras isentas","")))</x:f>
        <x:v>Vincendo: VP da parcela financeira; comissão/proteção futuras isentas</x:v>
      </x:c>
    </x:row>
    <x:row r="79">
      <x:c r="A79" s="129" t="n">
        <x:f>IF(ROW()-7&lt;=Contrato!$C$16,ROW()-7,"")</x:f>
        <x:v>72</x:v>
      </x:c>
      <x:c r="B79" s="129" t="n">
        <x:f>IF(A79="","",Contrato!$C$16)</x:f>
        <x:v>209</x:v>
      </x:c>
      <x:c r="C79" s="130" t="n">
        <x:f>IF(A79="","",IF(AB79&lt;&gt;"",AB79,IF(Contrato!$C$14="Mensal",EDATE(Contrato!$C$13,A79-1),Contrato!$C$13+(A79-1)*IF(Contrato!$C$14="Quinzenal",14,IF(Contrato!$C$14="Semanal",7,1)))))</x:f>
        <x:v>46766</x:v>
      </x:c>
      <x:c r="D79" s="131" t="n">
        <x:f>IF(A79="","",W78)</x:f>
        <x:v>8408.64</x:v>
      </x:c>
      <x:c r="E79" s="131" t="n">
        <x:f>IF(A79="","",ROUND(D79*Simulador!$I$18,2))</x:f>
        <x:v>33.14</x:v>
      </x:c>
      <x:c r="F79" s="131" t="n">
        <x:f>IF(A79="","",ROUND(MIN(D79,MAX(G79-E79,0)),2))</x:f>
        <x:v>45.98</x:v>
      </x:c>
      <x:c r="G79" s="131" t="n">
        <x:f>IF(A79="","",IF(A79&lt;Contrato!$C$16,Contrato!$C$27,Contrato!$C$28))</x:f>
        <x:v>79.12</x:v>
      </x:c>
      <x:c r="H79" s="131" t="n">
        <x:f>IF(A79="","",Contrato!$C$29)</x:f>
        <x:v>199.99</x:v>
      </x:c>
      <x:c r="I79" s="131" t="n">
        <x:f>IF(A79="","",Contrato!$C$30)</x:f>
        <x:v>187.5</x:v>
      </x:c>
      <x:c r="J79" s="131" t="n">
        <x:f>IF(A79="","",Contrato!$C$31)</x:f>
        <x:v>0</x:v>
      </x:c>
      <x:c r="K79" s="131" t="n">
        <x:f>IF(A79="","",ROUND(SUM(G79:J79),2))</x:f>
        <x:v>466.61</x:v>
      </x:c>
      <x:c r="L79" s="80"/>
      <x:c r="M79" s="77"/>
      <x:c r="N79" s="29" t="str">
        <x:f>IF(A79="","",IF(L79&gt;=K79,"Paga",IF(L79&gt;0,"Paga parcialmente",IF(C79&lt;$A$5,"Vencida","Prevista"))))</x:f>
        <x:v>Prevista</x:v>
      </x:c>
      <x:c r="O79" s="29" t="n">
        <x:f>IF(A79="","",$A$5-C79)</x:f>
        <x:v>-506</x:v>
      </x:c>
      <x:c r="P79" s="131" t="n">
        <x:f>IF(A79="","",IF(AND(O79&gt;0,MAX(K79-L79,0)&gt;0,N79&lt;&gt;"Paga"),ROUND(MAX(K79-L79,0)*'Parâmetros'!$B$34,2),0))</x:f>
        <x:v>0</x:v>
      </x:c>
      <x:c r="Q79" s="131" t="n">
        <x:f>IF(A79="","",IF(AND(O79&gt;0,MAX(K79-L79,0)&gt;0,N79&lt;&gt;"Paga"),ROUND(MAX(K79-L79,0)*'Parâmetros'!$B$35*(O79/'Parâmetros'!$B$33),2),0))</x:f>
        <x:v>0</x:v>
      </x:c>
      <x:c r="R79" s="131" t="n">
        <x:f>IF(A79="","",IF(O79&gt;0,ROUND(MAX(K79-L79,0)+P79+Q79,2),0))</x:f>
        <x:v>0</x:v>
      </x:c>
      <x:c r="S79" s="131" t="n">
        <x:f>IF(A79="","",IF(OR(N79="Paga",O79&gt;0),0,ROUND(IF(K79=0,0,G79*MAX(K79-L79,0)/K79)/(1+'Parâmetros'!$C$13)^((C79-$A$5)/30),2)))</x:f>
        <x:v>61.55</x:v>
      </x:c>
      <x:c r="T79" s="131" t="n">
        <x:f>IF(A79="","",0)</x:f>
        <x:v>0</x:v>
      </x:c>
      <x:c r="U79" s="131" t="n">
        <x:f>IF(A79="","",0)</x:f>
        <x:v>0</x:v>
      </x:c>
      <x:c r="V79" s="131" t="n">
        <x:f>IF(A79="","",IF(N79="Paga",0,IF(O79&gt;0,R79,S79)))</x:f>
        <x:v>61.55</x:v>
      </x:c>
      <x:c r="W79" s="131" t="n">
        <x:f>IF(A79="","",ROUND(MAX(D79-F79,0),2))</x:f>
        <x:v>8362.66</x:v>
      </x:c>
      <x:c r="X79" s="131" t="n">
        <x:f>IF(A79="","",ROUND(SUM($G79:$G$407),2))</x:f>
        <x:v>10917.36</x:v>
      </x:c>
      <x:c r="Y79" s="131" t="n">
        <x:f>IF(A79="","",ROUND(MAX(X79-D79,0),2))</x:f>
        <x:v>2508.72</x:v>
      </x:c>
      <x:c r="Z79" s="131" t="n">
        <x:f>IF(A79="","",ROUND(SUM($V79:$V$407),2))</x:f>
        <x:v>6758.85</x:v>
      </x:c>
      <x:c r="AA79" s="131" t="n">
        <x:f>IF(A79="","",ROUND(SUM($K79:$K$407)-Z79,2))</x:f>
        <x:v>57632.13</x:v>
      </x:c>
      <x:c r="AB79" s="77"/>
      <x:c r="AC79" s="36" t="str">
        <x:f>IF(A79="","",IF(O79&gt;0,"Vencido: saldo da fatura + mora",IF(O79&lt;=0,"Vincendo: VP da parcela financeira; comissão/proteção futuras isentas","")))</x:f>
        <x:v>Vincendo: VP da parcela financeira; comissão/proteção futuras isentas</x:v>
      </x:c>
    </x:row>
    <x:row r="80">
      <x:c r="A80" s="129" t="n">
        <x:f>IF(ROW()-7&lt;=Contrato!$C$16,ROW()-7,"")</x:f>
        <x:v>73</x:v>
      </x:c>
      <x:c r="B80" s="129" t="n">
        <x:f>IF(A80="","",Contrato!$C$16)</x:f>
        <x:v>209</x:v>
      </x:c>
      <x:c r="C80" s="130" t="n">
        <x:f>IF(A80="","",IF(AB80&lt;&gt;"",AB80,IF(Contrato!$C$14="Mensal",EDATE(Contrato!$C$13,A80-1),Contrato!$C$13+(A80-1)*IF(Contrato!$C$14="Quinzenal",14,IF(Contrato!$C$14="Semanal",7,1)))))</x:f>
        <x:v>46773</x:v>
      </x:c>
      <x:c r="D80" s="131" t="n">
        <x:f>IF(A80="","",W79)</x:f>
        <x:v>8362.66</x:v>
      </x:c>
      <x:c r="E80" s="131" t="n">
        <x:f>IF(A80="","",ROUND(D80*Simulador!$I$18,2))</x:f>
        <x:v>32.96</x:v>
      </x:c>
      <x:c r="F80" s="131" t="n">
        <x:f>IF(A80="","",ROUND(MIN(D80,MAX(G80-E80,0)),2))</x:f>
        <x:v>46.16</x:v>
      </x:c>
      <x:c r="G80" s="131" t="n">
        <x:f>IF(A80="","",IF(A80&lt;Contrato!$C$16,Contrato!$C$27,Contrato!$C$28))</x:f>
        <x:v>79.12</x:v>
      </x:c>
      <x:c r="H80" s="131" t="n">
        <x:f>IF(A80="","",Contrato!$C$29)</x:f>
        <x:v>199.99</x:v>
      </x:c>
      <x:c r="I80" s="131" t="n">
        <x:f>IF(A80="","",Contrato!$C$30)</x:f>
        <x:v>187.5</x:v>
      </x:c>
      <x:c r="J80" s="131" t="n">
        <x:f>IF(A80="","",Contrato!$C$31)</x:f>
        <x:v>0</x:v>
      </x:c>
      <x:c r="K80" s="131" t="n">
        <x:f>IF(A80="","",ROUND(SUM(G80:J80),2))</x:f>
        <x:v>466.61</x:v>
      </x:c>
      <x:c r="L80" s="80"/>
      <x:c r="M80" s="77"/>
      <x:c r="N80" s="29" t="str">
        <x:f>IF(A80="","",IF(L80&gt;=K80,"Paga",IF(L80&gt;0,"Paga parcialmente",IF(C80&lt;$A$5,"Vencida","Prevista"))))</x:f>
        <x:v>Prevista</x:v>
      </x:c>
      <x:c r="O80" s="29" t="n">
        <x:f>IF(A80="","",$A$5-C80)</x:f>
        <x:v>-513</x:v>
      </x:c>
      <x:c r="P80" s="131" t="n">
        <x:f>IF(A80="","",IF(AND(O80&gt;0,MAX(K80-L80,0)&gt;0,N80&lt;&gt;"Paga"),ROUND(MAX(K80-L80,0)*'Parâmetros'!$B$34,2),0))</x:f>
        <x:v>0</x:v>
      </x:c>
      <x:c r="Q80" s="131" t="n">
        <x:f>IF(A80="","",IF(AND(O80&gt;0,MAX(K80-L80,0)&gt;0,N80&lt;&gt;"Paga"),ROUND(MAX(K80-L80,0)*'Parâmetros'!$B$35*(O80/'Parâmetros'!$B$33),2),0))</x:f>
        <x:v>0</x:v>
      </x:c>
      <x:c r="R80" s="131" t="n">
        <x:f>IF(A80="","",IF(O80&gt;0,ROUND(MAX(K80-L80,0)+P80+Q80,2),0))</x:f>
        <x:v>0</x:v>
      </x:c>
      <x:c r="S80" s="131" t="n">
        <x:f>IF(A80="","",IF(OR(N80="Paga",O80&gt;0),0,ROUND(IF(K80=0,0,G80*MAX(K80-L80,0)/K80)/(1+'Parâmetros'!$C$13)^((C80-$A$5)/30),2)))</x:f>
        <x:v>61.34</x:v>
      </x:c>
      <x:c r="T80" s="131" t="n">
        <x:f>IF(A80="","",0)</x:f>
        <x:v>0</x:v>
      </x:c>
      <x:c r="U80" s="131" t="n">
        <x:f>IF(A80="","",0)</x:f>
        <x:v>0</x:v>
      </x:c>
      <x:c r="V80" s="131" t="n">
        <x:f>IF(A80="","",IF(N80="Paga",0,IF(O80&gt;0,R80,S80)))</x:f>
        <x:v>61.34</x:v>
      </x:c>
      <x:c r="W80" s="131" t="n">
        <x:f>IF(A80="","",ROUND(MAX(D80-F80,0),2))</x:f>
        <x:v>8316.5</x:v>
      </x:c>
      <x:c r="X80" s="131" t="n">
        <x:f>IF(A80="","",ROUND(SUM($G80:$G$407),2))</x:f>
        <x:v>10838.24</x:v>
      </x:c>
      <x:c r="Y80" s="131" t="n">
        <x:f>IF(A80="","",ROUND(MAX(X80-D80,0),2))</x:f>
        <x:v>2475.58</x:v>
      </x:c>
      <x:c r="Z80" s="131" t="n">
        <x:f>IF(A80="","",ROUND(SUM($V80:$V$407),2))</x:f>
        <x:v>6697.3</x:v>
      </x:c>
      <x:c r="AA80" s="131" t="n">
        <x:f>IF(A80="","",ROUND(SUM($K80:$K$407)-Z80,2))</x:f>
        <x:v>57227.07</x:v>
      </x:c>
      <x:c r="AB80" s="77"/>
      <x:c r="AC80" s="36" t="str">
        <x:f>IF(A80="","",IF(O80&gt;0,"Vencido: saldo da fatura + mora",IF(O80&lt;=0,"Vincendo: VP da parcela financeira; comissão/proteção futuras isentas","")))</x:f>
        <x:v>Vincendo: VP da parcela financeira; comissão/proteção futuras isentas</x:v>
      </x:c>
    </x:row>
    <x:row r="81">
      <x:c r="A81" s="129" t="n">
        <x:f>IF(ROW()-7&lt;=Contrato!$C$16,ROW()-7,"")</x:f>
        <x:v>74</x:v>
      </x:c>
      <x:c r="B81" s="129" t="n">
        <x:f>IF(A81="","",Contrato!$C$16)</x:f>
        <x:v>209</x:v>
      </x:c>
      <x:c r="C81" s="130" t="n">
        <x:f>IF(A81="","",IF(AB81&lt;&gt;"",AB81,IF(Contrato!$C$14="Mensal",EDATE(Contrato!$C$13,A81-1),Contrato!$C$13+(A81-1)*IF(Contrato!$C$14="Quinzenal",14,IF(Contrato!$C$14="Semanal",7,1)))))</x:f>
        <x:v>46780</x:v>
      </x:c>
      <x:c r="D81" s="131" t="n">
        <x:f>IF(A81="","",W80)</x:f>
        <x:v>8316.5</x:v>
      </x:c>
      <x:c r="E81" s="131" t="n">
        <x:f>IF(A81="","",ROUND(D81*Simulador!$I$18,2))</x:f>
        <x:v>32.78</x:v>
      </x:c>
      <x:c r="F81" s="131" t="n">
        <x:f>IF(A81="","",ROUND(MIN(D81,MAX(G81-E81,0)),2))</x:f>
        <x:v>46.34</x:v>
      </x:c>
      <x:c r="G81" s="131" t="n">
        <x:f>IF(A81="","",IF(A81&lt;Contrato!$C$16,Contrato!$C$27,Contrato!$C$28))</x:f>
        <x:v>79.12</x:v>
      </x:c>
      <x:c r="H81" s="131" t="n">
        <x:f>IF(A81="","",Contrato!$C$29)</x:f>
        <x:v>199.99</x:v>
      </x:c>
      <x:c r="I81" s="131" t="n">
        <x:f>IF(A81="","",Contrato!$C$30)</x:f>
        <x:v>187.5</x:v>
      </x:c>
      <x:c r="J81" s="131" t="n">
        <x:f>IF(A81="","",Contrato!$C$31)</x:f>
        <x:v>0</x:v>
      </x:c>
      <x:c r="K81" s="131" t="n">
        <x:f>IF(A81="","",ROUND(SUM(G81:J81),2))</x:f>
        <x:v>466.61</x:v>
      </x:c>
      <x:c r="L81" s="80"/>
      <x:c r="M81" s="77"/>
      <x:c r="N81" s="29" t="str">
        <x:f>IF(A81="","",IF(L81&gt;=K81,"Paga",IF(L81&gt;0,"Paga parcialmente",IF(C81&lt;$A$5,"Vencida","Prevista"))))</x:f>
        <x:v>Prevista</x:v>
      </x:c>
      <x:c r="O81" s="29" t="n">
        <x:f>IF(A81="","",$A$5-C81)</x:f>
        <x:v>-520</x:v>
      </x:c>
      <x:c r="P81" s="131" t="n">
        <x:f>IF(A81="","",IF(AND(O81&gt;0,MAX(K81-L81,0)&gt;0,N81&lt;&gt;"Paga"),ROUND(MAX(K81-L81,0)*'Parâmetros'!$B$34,2),0))</x:f>
        <x:v>0</x:v>
      </x:c>
      <x:c r="Q81" s="131" t="n">
        <x:f>IF(A81="","",IF(AND(O81&gt;0,MAX(K81-L81,0)&gt;0,N81&lt;&gt;"Paga"),ROUND(MAX(K81-L81,0)*'Parâmetros'!$B$35*(O81/'Parâmetros'!$B$33),2),0))</x:f>
        <x:v>0</x:v>
      </x:c>
      <x:c r="R81" s="131" t="n">
        <x:f>IF(A81="","",IF(O81&gt;0,ROUND(MAX(K81-L81,0)+P81+Q81,2),0))</x:f>
        <x:v>0</x:v>
      </x:c>
      <x:c r="S81" s="131" t="n">
        <x:f>IF(A81="","",IF(OR(N81="Paga",O81&gt;0),0,ROUND(IF(K81=0,0,G81*MAX(K81-L81,0)/K81)/(1+'Parâmetros'!$C$13)^((C81-$A$5)/30),2)))</x:f>
        <x:v>61.12</x:v>
      </x:c>
      <x:c r="T81" s="131" t="n">
        <x:f>IF(A81="","",0)</x:f>
        <x:v>0</x:v>
      </x:c>
      <x:c r="U81" s="131" t="n">
        <x:f>IF(A81="","",0)</x:f>
        <x:v>0</x:v>
      </x:c>
      <x:c r="V81" s="131" t="n">
        <x:f>IF(A81="","",IF(N81="Paga",0,IF(O81&gt;0,R81,S81)))</x:f>
        <x:v>61.12</x:v>
      </x:c>
      <x:c r="W81" s="131" t="n">
        <x:f>IF(A81="","",ROUND(MAX(D81-F81,0),2))</x:f>
        <x:v>8270.16</x:v>
      </x:c>
      <x:c r="X81" s="131" t="n">
        <x:f>IF(A81="","",ROUND(SUM($G81:$G$407),2))</x:f>
        <x:v>10759.12</x:v>
      </x:c>
      <x:c r="Y81" s="131" t="n">
        <x:f>IF(A81="","",ROUND(MAX(X81-D81,0),2))</x:f>
        <x:v>2442.62</x:v>
      </x:c>
      <x:c r="Z81" s="131" t="n">
        <x:f>IF(A81="","",ROUND(SUM($V81:$V$407),2))</x:f>
        <x:v>6635.96</x:v>
      </x:c>
      <x:c r="AA81" s="131" t="n">
        <x:f>IF(A81="","",ROUND(SUM($K81:$K$407)-Z81,2))</x:f>
        <x:v>56821.8</x:v>
      </x:c>
      <x:c r="AB81" s="77"/>
      <x:c r="AC81" s="36" t="str">
        <x:f>IF(A81="","",IF(O81&gt;0,"Vencido: saldo da fatura + mora",IF(O81&lt;=0,"Vincendo: VP da parcela financeira; comissão/proteção futuras isentas","")))</x:f>
        <x:v>Vincendo: VP da parcela financeira; comissão/proteção futuras isentas</x:v>
      </x:c>
    </x:row>
    <x:row r="82">
      <x:c r="A82" s="129" t="n">
        <x:f>IF(ROW()-7&lt;=Contrato!$C$16,ROW()-7,"")</x:f>
        <x:v>75</x:v>
      </x:c>
      <x:c r="B82" s="129" t="n">
        <x:f>IF(A82="","",Contrato!$C$16)</x:f>
        <x:v>209</x:v>
      </x:c>
      <x:c r="C82" s="130" t="n">
        <x:f>IF(A82="","",IF(AB82&lt;&gt;"",AB82,IF(Contrato!$C$14="Mensal",EDATE(Contrato!$C$13,A82-1),Contrato!$C$13+(A82-1)*IF(Contrato!$C$14="Quinzenal",14,IF(Contrato!$C$14="Semanal",7,1)))))</x:f>
        <x:v>46787</x:v>
      </x:c>
      <x:c r="D82" s="131" t="n">
        <x:f>IF(A82="","",W81)</x:f>
        <x:v>8270.16</x:v>
      </x:c>
      <x:c r="E82" s="131" t="n">
        <x:f>IF(A82="","",ROUND(D82*Simulador!$I$18,2))</x:f>
        <x:v>32.59</x:v>
      </x:c>
      <x:c r="F82" s="131" t="n">
        <x:f>IF(A82="","",ROUND(MIN(D82,MAX(G82-E82,0)),2))</x:f>
        <x:v>46.53</x:v>
      </x:c>
      <x:c r="G82" s="131" t="n">
        <x:f>IF(A82="","",IF(A82&lt;Contrato!$C$16,Contrato!$C$27,Contrato!$C$28))</x:f>
        <x:v>79.12</x:v>
      </x:c>
      <x:c r="H82" s="131" t="n">
        <x:f>IF(A82="","",Contrato!$C$29)</x:f>
        <x:v>199.99</x:v>
      </x:c>
      <x:c r="I82" s="131" t="n">
        <x:f>IF(A82="","",Contrato!$C$30)</x:f>
        <x:v>187.5</x:v>
      </x:c>
      <x:c r="J82" s="131" t="n">
        <x:f>IF(A82="","",Contrato!$C$31)</x:f>
        <x:v>0</x:v>
      </x:c>
      <x:c r="K82" s="131" t="n">
        <x:f>IF(A82="","",ROUND(SUM(G82:J82),2))</x:f>
        <x:v>466.61</x:v>
      </x:c>
      <x:c r="L82" s="80"/>
      <x:c r="M82" s="77"/>
      <x:c r="N82" s="29" t="str">
        <x:f>IF(A82="","",IF(L82&gt;=K82,"Paga",IF(L82&gt;0,"Paga parcialmente",IF(C82&lt;$A$5,"Vencida","Prevista"))))</x:f>
        <x:v>Prevista</x:v>
      </x:c>
      <x:c r="O82" s="29" t="n">
        <x:f>IF(A82="","",$A$5-C82)</x:f>
        <x:v>-527</x:v>
      </x:c>
      <x:c r="P82" s="131" t="n">
        <x:f>IF(A82="","",IF(AND(O82&gt;0,MAX(K82-L82,0)&gt;0,N82&lt;&gt;"Paga"),ROUND(MAX(K82-L82,0)*'Parâmetros'!$B$34,2),0))</x:f>
        <x:v>0</x:v>
      </x:c>
      <x:c r="Q82" s="131" t="n">
        <x:f>IF(A82="","",IF(AND(O82&gt;0,MAX(K82-L82,0)&gt;0,N82&lt;&gt;"Paga"),ROUND(MAX(K82-L82,0)*'Parâmetros'!$B$35*(O82/'Parâmetros'!$B$33),2),0))</x:f>
        <x:v>0</x:v>
      </x:c>
      <x:c r="R82" s="131" t="n">
        <x:f>IF(A82="","",IF(O82&gt;0,ROUND(MAX(K82-L82,0)+P82+Q82,2),0))</x:f>
        <x:v>0</x:v>
      </x:c>
      <x:c r="S82" s="131" t="n">
        <x:f>IF(A82="","",IF(OR(N82="Paga",O82&gt;0),0,ROUND(IF(K82=0,0,G82*MAX(K82-L82,0)/K82)/(1+'Parâmetros'!$C$13)^((C82-$A$5)/30),2)))</x:f>
        <x:v>60.91</x:v>
      </x:c>
      <x:c r="T82" s="131" t="n">
        <x:f>IF(A82="","",0)</x:f>
        <x:v>0</x:v>
      </x:c>
      <x:c r="U82" s="131" t="n">
        <x:f>IF(A82="","",0)</x:f>
        <x:v>0</x:v>
      </x:c>
      <x:c r="V82" s="131" t="n">
        <x:f>IF(A82="","",IF(N82="Paga",0,IF(O82&gt;0,R82,S82)))</x:f>
        <x:v>60.91</x:v>
      </x:c>
      <x:c r="W82" s="131" t="n">
        <x:f>IF(A82="","",ROUND(MAX(D82-F82,0),2))</x:f>
        <x:v>8223.63</x:v>
      </x:c>
      <x:c r="X82" s="131" t="n">
        <x:f>IF(A82="","",ROUND(SUM($G82:$G$407),2))</x:f>
        <x:v>10680</x:v>
      </x:c>
      <x:c r="Y82" s="131" t="n">
        <x:f>IF(A82="","",ROUND(MAX(X82-D82,0),2))</x:f>
        <x:v>2409.84</x:v>
      </x:c>
      <x:c r="Z82" s="131" t="n">
        <x:f>IF(A82="","",ROUND(SUM($V82:$V$407),2))</x:f>
        <x:v>6574.84</x:v>
      </x:c>
      <x:c r="AA82" s="131" t="n">
        <x:f>IF(A82="","",ROUND(SUM($K82:$K$407)-Z82,2))</x:f>
        <x:v>56416.31</x:v>
      </x:c>
      <x:c r="AB82" s="77"/>
      <x:c r="AC82" s="36" t="str">
        <x:f>IF(A82="","",IF(O82&gt;0,"Vencido: saldo da fatura + mora",IF(O82&lt;=0,"Vincendo: VP da parcela financeira; comissão/proteção futuras isentas","")))</x:f>
        <x:v>Vincendo: VP da parcela financeira; comissão/proteção futuras isentas</x:v>
      </x:c>
    </x:row>
    <x:row r="83">
      <x:c r="A83" s="129" t="n">
        <x:f>IF(ROW()-7&lt;=Contrato!$C$16,ROW()-7,"")</x:f>
        <x:v>76</x:v>
      </x:c>
      <x:c r="B83" s="129" t="n">
        <x:f>IF(A83="","",Contrato!$C$16)</x:f>
        <x:v>209</x:v>
      </x:c>
      <x:c r="C83" s="130" t="n">
        <x:f>IF(A83="","",IF(AB83&lt;&gt;"",AB83,IF(Contrato!$C$14="Mensal",EDATE(Contrato!$C$13,A83-1),Contrato!$C$13+(A83-1)*IF(Contrato!$C$14="Quinzenal",14,IF(Contrato!$C$14="Semanal",7,1)))))</x:f>
        <x:v>46794</x:v>
      </x:c>
      <x:c r="D83" s="131" t="n">
        <x:f>IF(A83="","",W82)</x:f>
        <x:v>8223.63</x:v>
      </x:c>
      <x:c r="E83" s="131" t="n">
        <x:f>IF(A83="","",ROUND(D83*Simulador!$I$18,2))</x:f>
        <x:v>32.41</x:v>
      </x:c>
      <x:c r="F83" s="131" t="n">
        <x:f>IF(A83="","",ROUND(MIN(D83,MAX(G83-E83,0)),2))</x:f>
        <x:v>46.71</x:v>
      </x:c>
      <x:c r="G83" s="131" t="n">
        <x:f>IF(A83="","",IF(A83&lt;Contrato!$C$16,Contrato!$C$27,Contrato!$C$28))</x:f>
        <x:v>79.12</x:v>
      </x:c>
      <x:c r="H83" s="131" t="n">
        <x:f>IF(A83="","",Contrato!$C$29)</x:f>
        <x:v>199.99</x:v>
      </x:c>
      <x:c r="I83" s="131" t="n">
        <x:f>IF(A83="","",Contrato!$C$30)</x:f>
        <x:v>187.5</x:v>
      </x:c>
      <x:c r="J83" s="131" t="n">
        <x:f>IF(A83="","",Contrato!$C$31)</x:f>
        <x:v>0</x:v>
      </x:c>
      <x:c r="K83" s="131" t="n">
        <x:f>IF(A83="","",ROUND(SUM(G83:J83),2))</x:f>
        <x:v>466.61</x:v>
      </x:c>
      <x:c r="L83" s="80"/>
      <x:c r="M83" s="77"/>
      <x:c r="N83" s="29" t="str">
        <x:f>IF(A83="","",IF(L83&gt;=K83,"Paga",IF(L83&gt;0,"Paga parcialmente",IF(C83&lt;$A$5,"Vencida","Prevista"))))</x:f>
        <x:v>Prevista</x:v>
      </x:c>
      <x:c r="O83" s="29" t="n">
        <x:f>IF(A83="","",$A$5-C83)</x:f>
        <x:v>-534</x:v>
      </x:c>
      <x:c r="P83" s="131" t="n">
        <x:f>IF(A83="","",IF(AND(O83&gt;0,MAX(K83-L83,0)&gt;0,N83&lt;&gt;"Paga"),ROUND(MAX(K83-L83,0)*'Parâmetros'!$B$34,2),0))</x:f>
        <x:v>0</x:v>
      </x:c>
      <x:c r="Q83" s="131" t="n">
        <x:f>IF(A83="","",IF(AND(O83&gt;0,MAX(K83-L83,0)&gt;0,N83&lt;&gt;"Paga"),ROUND(MAX(K83-L83,0)*'Parâmetros'!$B$35*(O83/'Parâmetros'!$B$33),2),0))</x:f>
        <x:v>0</x:v>
      </x:c>
      <x:c r="R83" s="131" t="n">
        <x:f>IF(A83="","",IF(O83&gt;0,ROUND(MAX(K83-L83,0)+P83+Q83,2),0))</x:f>
        <x:v>0</x:v>
      </x:c>
      <x:c r="S83" s="131" t="n">
        <x:f>IF(A83="","",IF(OR(N83="Paga",O83&gt;0),0,ROUND(IF(K83=0,0,G83*MAX(K83-L83,0)/K83)/(1+'Parâmetros'!$C$13)^((C83-$A$5)/30),2)))</x:f>
        <x:v>60.7</x:v>
      </x:c>
      <x:c r="T83" s="131" t="n">
        <x:f>IF(A83="","",0)</x:f>
        <x:v>0</x:v>
      </x:c>
      <x:c r="U83" s="131" t="n">
        <x:f>IF(A83="","",0)</x:f>
        <x:v>0</x:v>
      </x:c>
      <x:c r="V83" s="131" t="n">
        <x:f>IF(A83="","",IF(N83="Paga",0,IF(O83&gt;0,R83,S83)))</x:f>
        <x:v>60.7</x:v>
      </x:c>
      <x:c r="W83" s="131" t="n">
        <x:f>IF(A83="","",ROUND(MAX(D83-F83,0),2))</x:f>
        <x:v>8176.92</x:v>
      </x:c>
      <x:c r="X83" s="131" t="n">
        <x:f>IF(A83="","",ROUND(SUM($G83:$G$407),2))</x:f>
        <x:v>10600.88</x:v>
      </x:c>
      <x:c r="Y83" s="131" t="n">
        <x:f>IF(A83="","",ROUND(MAX(X83-D83,0),2))</x:f>
        <x:v>2377.25</x:v>
      </x:c>
      <x:c r="Z83" s="131" t="n">
        <x:f>IF(A83="","",ROUND(SUM($V83:$V$407),2))</x:f>
        <x:v>6513.93</x:v>
      </x:c>
      <x:c r="AA83" s="131" t="n">
        <x:f>IF(A83="","",ROUND(SUM($K83:$K$407)-Z83,2))</x:f>
        <x:v>56010.61</x:v>
      </x:c>
      <x:c r="AB83" s="77"/>
      <x:c r="AC83" s="36" t="str">
        <x:f>IF(A83="","",IF(O83&gt;0,"Vencido: saldo da fatura + mora",IF(O83&lt;=0,"Vincendo: VP da parcela financeira; comissão/proteção futuras isentas","")))</x:f>
        <x:v>Vincendo: VP da parcela financeira; comissão/proteção futuras isentas</x:v>
      </x:c>
    </x:row>
    <x:row r="84">
      <x:c r="A84" s="129" t="n">
        <x:f>IF(ROW()-7&lt;=Contrato!$C$16,ROW()-7,"")</x:f>
        <x:v>77</x:v>
      </x:c>
      <x:c r="B84" s="129" t="n">
        <x:f>IF(A84="","",Contrato!$C$16)</x:f>
        <x:v>209</x:v>
      </x:c>
      <x:c r="C84" s="130" t="n">
        <x:f>IF(A84="","",IF(AB84&lt;&gt;"",AB84,IF(Contrato!$C$14="Mensal",EDATE(Contrato!$C$13,A84-1),Contrato!$C$13+(A84-1)*IF(Contrato!$C$14="Quinzenal",14,IF(Contrato!$C$14="Semanal",7,1)))))</x:f>
        <x:v>46801</x:v>
      </x:c>
      <x:c r="D84" s="131" t="n">
        <x:f>IF(A84="","",W83)</x:f>
        <x:v>8176.92</x:v>
      </x:c>
      <x:c r="E84" s="131" t="n">
        <x:f>IF(A84="","",ROUND(D84*Simulador!$I$18,2))</x:f>
        <x:v>32.23</x:v>
      </x:c>
      <x:c r="F84" s="131" t="n">
        <x:f>IF(A84="","",ROUND(MIN(D84,MAX(G84-E84,0)),2))</x:f>
        <x:v>46.89</x:v>
      </x:c>
      <x:c r="G84" s="131" t="n">
        <x:f>IF(A84="","",IF(A84&lt;Contrato!$C$16,Contrato!$C$27,Contrato!$C$28))</x:f>
        <x:v>79.12</x:v>
      </x:c>
      <x:c r="H84" s="131" t="n">
        <x:f>IF(A84="","",Contrato!$C$29)</x:f>
        <x:v>199.99</x:v>
      </x:c>
      <x:c r="I84" s="131" t="n">
        <x:f>IF(A84="","",Contrato!$C$30)</x:f>
        <x:v>187.5</x:v>
      </x:c>
      <x:c r="J84" s="131" t="n">
        <x:f>IF(A84="","",Contrato!$C$31)</x:f>
        <x:v>0</x:v>
      </x:c>
      <x:c r="K84" s="131" t="n">
        <x:f>IF(A84="","",ROUND(SUM(G84:J84),2))</x:f>
        <x:v>466.61</x:v>
      </x:c>
      <x:c r="L84" s="80"/>
      <x:c r="M84" s="77"/>
      <x:c r="N84" s="29" t="str">
        <x:f>IF(A84="","",IF(L84&gt;=K84,"Paga",IF(L84&gt;0,"Paga parcialmente",IF(C84&lt;$A$5,"Vencida","Prevista"))))</x:f>
        <x:v>Prevista</x:v>
      </x:c>
      <x:c r="O84" s="29" t="n">
        <x:f>IF(A84="","",$A$5-C84)</x:f>
        <x:v>-541</x:v>
      </x:c>
      <x:c r="P84" s="131" t="n">
        <x:f>IF(A84="","",IF(AND(O84&gt;0,MAX(K84-L84,0)&gt;0,N84&lt;&gt;"Paga"),ROUND(MAX(K84-L84,0)*'Parâmetros'!$B$34,2),0))</x:f>
        <x:v>0</x:v>
      </x:c>
      <x:c r="Q84" s="131" t="n">
        <x:f>IF(A84="","",IF(AND(O84&gt;0,MAX(K84-L84,0)&gt;0,N84&lt;&gt;"Paga"),ROUND(MAX(K84-L84,0)*'Parâmetros'!$B$35*(O84/'Parâmetros'!$B$33),2),0))</x:f>
        <x:v>0</x:v>
      </x:c>
      <x:c r="R84" s="131" t="n">
        <x:f>IF(A84="","",IF(O84&gt;0,ROUND(MAX(K84-L84,0)+P84+Q84,2),0))</x:f>
        <x:v>0</x:v>
      </x:c>
      <x:c r="S84" s="131" t="n">
        <x:f>IF(A84="","",IF(OR(N84="Paga",O84&gt;0),0,ROUND(IF(K84=0,0,G84*MAX(K84-L84,0)/K84)/(1+'Parâmetros'!$C$13)^((C84-$A$5)/30),2)))</x:f>
        <x:v>60.49</x:v>
      </x:c>
      <x:c r="T84" s="131" t="n">
        <x:f>IF(A84="","",0)</x:f>
        <x:v>0</x:v>
      </x:c>
      <x:c r="U84" s="131" t="n">
        <x:f>IF(A84="","",0)</x:f>
        <x:v>0</x:v>
      </x:c>
      <x:c r="V84" s="131" t="n">
        <x:f>IF(A84="","",IF(N84="Paga",0,IF(O84&gt;0,R84,S84)))</x:f>
        <x:v>60.49</x:v>
      </x:c>
      <x:c r="W84" s="131" t="n">
        <x:f>IF(A84="","",ROUND(MAX(D84-F84,0),2))</x:f>
        <x:v>8130.03</x:v>
      </x:c>
      <x:c r="X84" s="131" t="n">
        <x:f>IF(A84="","",ROUND(SUM($G84:$G$407),2))</x:f>
        <x:v>10521.76</x:v>
      </x:c>
      <x:c r="Y84" s="131" t="n">
        <x:f>IF(A84="","",ROUND(MAX(X84-D84,0),2))</x:f>
        <x:v>2344.84</x:v>
      </x:c>
      <x:c r="Z84" s="131" t="n">
        <x:f>IF(A84="","",ROUND(SUM($V84:$V$407),2))</x:f>
        <x:v>6453.23</x:v>
      </x:c>
      <x:c r="AA84" s="131" t="n">
        <x:f>IF(A84="","",ROUND(SUM($K84:$K$407)-Z84,2))</x:f>
        <x:v>55604.7</x:v>
      </x:c>
      <x:c r="AB84" s="77"/>
      <x:c r="AC84" s="36" t="str">
        <x:f>IF(A84="","",IF(O84&gt;0,"Vencido: saldo da fatura + mora",IF(O84&lt;=0,"Vincendo: VP da parcela financeira; comissão/proteção futuras isentas","")))</x:f>
        <x:v>Vincendo: VP da parcela financeira; comissão/proteção futuras isentas</x:v>
      </x:c>
    </x:row>
    <x:row r="85">
      <x:c r="A85" s="129" t="n">
        <x:f>IF(ROW()-7&lt;=Contrato!$C$16,ROW()-7,"")</x:f>
        <x:v>78</x:v>
      </x:c>
      <x:c r="B85" s="129" t="n">
        <x:f>IF(A85="","",Contrato!$C$16)</x:f>
        <x:v>209</x:v>
      </x:c>
      <x:c r="C85" s="130" t="n">
        <x:f>IF(A85="","",IF(AB85&lt;&gt;"",AB85,IF(Contrato!$C$14="Mensal",EDATE(Contrato!$C$13,A85-1),Contrato!$C$13+(A85-1)*IF(Contrato!$C$14="Quinzenal",14,IF(Contrato!$C$14="Semanal",7,1)))))</x:f>
        <x:v>46808</x:v>
      </x:c>
      <x:c r="D85" s="131" t="n">
        <x:f>IF(A85="","",W84)</x:f>
        <x:v>8130.03</x:v>
      </x:c>
      <x:c r="E85" s="131" t="n">
        <x:f>IF(A85="","",ROUND(D85*Simulador!$I$18,2))</x:f>
        <x:v>32.04</x:v>
      </x:c>
      <x:c r="F85" s="131" t="n">
        <x:f>IF(A85="","",ROUND(MIN(D85,MAX(G85-E85,0)),2))</x:f>
        <x:v>47.08</x:v>
      </x:c>
      <x:c r="G85" s="131" t="n">
        <x:f>IF(A85="","",IF(A85&lt;Contrato!$C$16,Contrato!$C$27,Contrato!$C$28))</x:f>
        <x:v>79.12</x:v>
      </x:c>
      <x:c r="H85" s="131" t="n">
        <x:f>IF(A85="","",Contrato!$C$29)</x:f>
        <x:v>199.99</x:v>
      </x:c>
      <x:c r="I85" s="131" t="n">
        <x:f>IF(A85="","",Contrato!$C$30)</x:f>
        <x:v>187.5</x:v>
      </x:c>
      <x:c r="J85" s="131" t="n">
        <x:f>IF(A85="","",Contrato!$C$31)</x:f>
        <x:v>0</x:v>
      </x:c>
      <x:c r="K85" s="131" t="n">
        <x:f>IF(A85="","",ROUND(SUM(G85:J85),2))</x:f>
        <x:v>466.61</x:v>
      </x:c>
      <x:c r="L85" s="80"/>
      <x:c r="M85" s="77"/>
      <x:c r="N85" s="29" t="str">
        <x:f>IF(A85="","",IF(L85&gt;=K85,"Paga",IF(L85&gt;0,"Paga parcialmente",IF(C85&lt;$A$5,"Vencida","Prevista"))))</x:f>
        <x:v>Prevista</x:v>
      </x:c>
      <x:c r="O85" s="29" t="n">
        <x:f>IF(A85="","",$A$5-C85)</x:f>
        <x:v>-548</x:v>
      </x:c>
      <x:c r="P85" s="131" t="n">
        <x:f>IF(A85="","",IF(AND(O85&gt;0,MAX(K85-L85,0)&gt;0,N85&lt;&gt;"Paga"),ROUND(MAX(K85-L85,0)*'Parâmetros'!$B$34,2),0))</x:f>
        <x:v>0</x:v>
      </x:c>
      <x:c r="Q85" s="131" t="n">
        <x:f>IF(A85="","",IF(AND(O85&gt;0,MAX(K85-L85,0)&gt;0,N85&lt;&gt;"Paga"),ROUND(MAX(K85-L85,0)*'Parâmetros'!$B$35*(O85/'Parâmetros'!$B$33),2),0))</x:f>
        <x:v>0</x:v>
      </x:c>
      <x:c r="R85" s="131" t="n">
        <x:f>IF(A85="","",IF(O85&gt;0,ROUND(MAX(K85-L85,0)+P85+Q85,2),0))</x:f>
        <x:v>0</x:v>
      </x:c>
      <x:c r="S85" s="131" t="n">
        <x:f>IF(A85="","",IF(OR(N85="Paga",O85&gt;0),0,ROUND(IF(K85=0,0,G85*MAX(K85-L85,0)/K85)/(1+'Parâmetros'!$C$13)^((C85-$A$5)/30),2)))</x:f>
        <x:v>60.28</x:v>
      </x:c>
      <x:c r="T85" s="131" t="n">
        <x:f>IF(A85="","",0)</x:f>
        <x:v>0</x:v>
      </x:c>
      <x:c r="U85" s="131" t="n">
        <x:f>IF(A85="","",0)</x:f>
        <x:v>0</x:v>
      </x:c>
      <x:c r="V85" s="131" t="n">
        <x:f>IF(A85="","",IF(N85="Paga",0,IF(O85&gt;0,R85,S85)))</x:f>
        <x:v>60.28</x:v>
      </x:c>
      <x:c r="W85" s="131" t="n">
        <x:f>IF(A85="","",ROUND(MAX(D85-F85,0),2))</x:f>
        <x:v>8082.95</x:v>
      </x:c>
      <x:c r="X85" s="131" t="n">
        <x:f>IF(A85="","",ROUND(SUM($G85:$G$407),2))</x:f>
        <x:v>10442.64</x:v>
      </x:c>
      <x:c r="Y85" s="131" t="n">
        <x:f>IF(A85="","",ROUND(MAX(X85-D85,0),2))</x:f>
        <x:v>2312.61</x:v>
      </x:c>
      <x:c r="Z85" s="131" t="n">
        <x:f>IF(A85="","",ROUND(SUM($V85:$V$407),2))</x:f>
        <x:v>6392.74</x:v>
      </x:c>
      <x:c r="AA85" s="131" t="n">
        <x:f>IF(A85="","",ROUND(SUM($K85:$K$407)-Z85,2))</x:f>
        <x:v>55198.58</x:v>
      </x:c>
      <x:c r="AB85" s="77"/>
      <x:c r="AC85" s="36" t="str">
        <x:f>IF(A85="","",IF(O85&gt;0,"Vencido: saldo da fatura + mora",IF(O85&lt;=0,"Vincendo: VP da parcela financeira; comissão/proteção futuras isentas","")))</x:f>
        <x:v>Vincendo: VP da parcela financeira; comissão/proteção futuras isentas</x:v>
      </x:c>
    </x:row>
    <x:row r="86">
      <x:c r="A86" s="129" t="n">
        <x:f>IF(ROW()-7&lt;=Contrato!$C$16,ROW()-7,"")</x:f>
        <x:v>79</x:v>
      </x:c>
      <x:c r="B86" s="129" t="n">
        <x:f>IF(A86="","",Contrato!$C$16)</x:f>
        <x:v>209</x:v>
      </x:c>
      <x:c r="C86" s="130" t="n">
        <x:f>IF(A86="","",IF(AB86&lt;&gt;"",AB86,IF(Contrato!$C$14="Mensal",EDATE(Contrato!$C$13,A86-1),Contrato!$C$13+(A86-1)*IF(Contrato!$C$14="Quinzenal",14,IF(Contrato!$C$14="Semanal",7,1)))))</x:f>
        <x:v>46815</x:v>
      </x:c>
      <x:c r="D86" s="131" t="n">
        <x:f>IF(A86="","",W85)</x:f>
        <x:v>8082.95</x:v>
      </x:c>
      <x:c r="E86" s="131" t="n">
        <x:f>IF(A86="","",ROUND(D86*Simulador!$I$18,2))</x:f>
        <x:v>31.86</x:v>
      </x:c>
      <x:c r="F86" s="131" t="n">
        <x:f>IF(A86="","",ROUND(MIN(D86,MAX(G86-E86,0)),2))</x:f>
        <x:v>47.26</x:v>
      </x:c>
      <x:c r="G86" s="131" t="n">
        <x:f>IF(A86="","",IF(A86&lt;Contrato!$C$16,Contrato!$C$27,Contrato!$C$28))</x:f>
        <x:v>79.12</x:v>
      </x:c>
      <x:c r="H86" s="131" t="n">
        <x:f>IF(A86="","",Contrato!$C$29)</x:f>
        <x:v>199.99</x:v>
      </x:c>
      <x:c r="I86" s="131" t="n">
        <x:f>IF(A86="","",Contrato!$C$30)</x:f>
        <x:v>187.5</x:v>
      </x:c>
      <x:c r="J86" s="131" t="n">
        <x:f>IF(A86="","",Contrato!$C$31)</x:f>
        <x:v>0</x:v>
      </x:c>
      <x:c r="K86" s="131" t="n">
        <x:f>IF(A86="","",ROUND(SUM(G86:J86),2))</x:f>
        <x:v>466.61</x:v>
      </x:c>
      <x:c r="L86" s="80"/>
      <x:c r="M86" s="77"/>
      <x:c r="N86" s="29" t="str">
        <x:f>IF(A86="","",IF(L86&gt;=K86,"Paga",IF(L86&gt;0,"Paga parcialmente",IF(C86&lt;$A$5,"Vencida","Prevista"))))</x:f>
        <x:v>Prevista</x:v>
      </x:c>
      <x:c r="O86" s="29" t="n">
        <x:f>IF(A86="","",$A$5-C86)</x:f>
        <x:v>-555</x:v>
      </x:c>
      <x:c r="P86" s="131" t="n">
        <x:f>IF(A86="","",IF(AND(O86&gt;0,MAX(K86-L86,0)&gt;0,N86&lt;&gt;"Paga"),ROUND(MAX(K86-L86,0)*'Parâmetros'!$B$34,2),0))</x:f>
        <x:v>0</x:v>
      </x:c>
      <x:c r="Q86" s="131" t="n">
        <x:f>IF(A86="","",IF(AND(O86&gt;0,MAX(K86-L86,0)&gt;0,N86&lt;&gt;"Paga"),ROUND(MAX(K86-L86,0)*'Parâmetros'!$B$35*(O86/'Parâmetros'!$B$33),2),0))</x:f>
        <x:v>0</x:v>
      </x:c>
      <x:c r="R86" s="131" t="n">
        <x:f>IF(A86="","",IF(O86&gt;0,ROUND(MAX(K86-L86,0)+P86+Q86,2),0))</x:f>
        <x:v>0</x:v>
      </x:c>
      <x:c r="S86" s="131" t="n">
        <x:f>IF(A86="","",IF(OR(N86="Paga",O86&gt;0),0,ROUND(IF(K86=0,0,G86*MAX(K86-L86,0)/K86)/(1+'Parâmetros'!$C$13)^((C86-$A$5)/30),2)))</x:f>
        <x:v>60.07</x:v>
      </x:c>
      <x:c r="T86" s="131" t="n">
        <x:f>IF(A86="","",0)</x:f>
        <x:v>0</x:v>
      </x:c>
      <x:c r="U86" s="131" t="n">
        <x:f>IF(A86="","",0)</x:f>
        <x:v>0</x:v>
      </x:c>
      <x:c r="V86" s="131" t="n">
        <x:f>IF(A86="","",IF(N86="Paga",0,IF(O86&gt;0,R86,S86)))</x:f>
        <x:v>60.07</x:v>
      </x:c>
      <x:c r="W86" s="131" t="n">
        <x:f>IF(A86="","",ROUND(MAX(D86-F86,0),2))</x:f>
        <x:v>8035.69</x:v>
      </x:c>
      <x:c r="X86" s="131" t="n">
        <x:f>IF(A86="","",ROUND(SUM($G86:$G$407),2))</x:f>
        <x:v>10363.52</x:v>
      </x:c>
      <x:c r="Y86" s="131" t="n">
        <x:f>IF(A86="","",ROUND(MAX(X86-D86,0),2))</x:f>
        <x:v>2280.57</x:v>
      </x:c>
      <x:c r="Z86" s="131" t="n">
        <x:f>IF(A86="","",ROUND(SUM($V86:$V$407),2))</x:f>
        <x:v>6332.46</x:v>
      </x:c>
      <x:c r="AA86" s="131" t="n">
        <x:f>IF(A86="","",ROUND(SUM($K86:$K$407)-Z86,2))</x:f>
        <x:v>54792.25</x:v>
      </x:c>
      <x:c r="AB86" s="77"/>
      <x:c r="AC86" s="36" t="str">
        <x:f>IF(A86="","",IF(O86&gt;0,"Vencido: saldo da fatura + mora",IF(O86&lt;=0,"Vincendo: VP da parcela financeira; comissão/proteção futuras isentas","")))</x:f>
        <x:v>Vincendo: VP da parcela financeira; comissão/proteção futuras isentas</x:v>
      </x:c>
    </x:row>
    <x:row r="87">
      <x:c r="A87" s="129" t="n">
        <x:f>IF(ROW()-7&lt;=Contrato!$C$16,ROW()-7,"")</x:f>
        <x:v>80</x:v>
      </x:c>
      <x:c r="B87" s="129" t="n">
        <x:f>IF(A87="","",Contrato!$C$16)</x:f>
        <x:v>209</x:v>
      </x:c>
      <x:c r="C87" s="130" t="n">
        <x:f>IF(A87="","",IF(AB87&lt;&gt;"",AB87,IF(Contrato!$C$14="Mensal",EDATE(Contrato!$C$13,A87-1),Contrato!$C$13+(A87-1)*IF(Contrato!$C$14="Quinzenal",14,IF(Contrato!$C$14="Semanal",7,1)))))</x:f>
        <x:v>46822</x:v>
      </x:c>
      <x:c r="D87" s="131" t="n">
        <x:f>IF(A87="","",W86)</x:f>
        <x:v>8035.69</x:v>
      </x:c>
      <x:c r="E87" s="131" t="n">
        <x:f>IF(A87="","",ROUND(D87*Simulador!$I$18,2))</x:f>
        <x:v>31.67</x:v>
      </x:c>
      <x:c r="F87" s="131" t="n">
        <x:f>IF(A87="","",ROUND(MIN(D87,MAX(G87-E87,0)),2))</x:f>
        <x:v>47.45</x:v>
      </x:c>
      <x:c r="G87" s="131" t="n">
        <x:f>IF(A87="","",IF(A87&lt;Contrato!$C$16,Contrato!$C$27,Contrato!$C$28))</x:f>
        <x:v>79.12</x:v>
      </x:c>
      <x:c r="H87" s="131" t="n">
        <x:f>IF(A87="","",Contrato!$C$29)</x:f>
        <x:v>199.99</x:v>
      </x:c>
      <x:c r="I87" s="131" t="n">
        <x:f>IF(A87="","",Contrato!$C$30)</x:f>
        <x:v>187.5</x:v>
      </x:c>
      <x:c r="J87" s="131" t="n">
        <x:f>IF(A87="","",Contrato!$C$31)</x:f>
        <x:v>0</x:v>
      </x:c>
      <x:c r="K87" s="131" t="n">
        <x:f>IF(A87="","",ROUND(SUM(G87:J87),2))</x:f>
        <x:v>466.61</x:v>
      </x:c>
      <x:c r="L87" s="80"/>
      <x:c r="M87" s="77"/>
      <x:c r="N87" s="29" t="str">
        <x:f>IF(A87="","",IF(L87&gt;=K87,"Paga",IF(L87&gt;0,"Paga parcialmente",IF(C87&lt;$A$5,"Vencida","Prevista"))))</x:f>
        <x:v>Prevista</x:v>
      </x:c>
      <x:c r="O87" s="29" t="n">
        <x:f>IF(A87="","",$A$5-C87)</x:f>
        <x:v>-562</x:v>
      </x:c>
      <x:c r="P87" s="131" t="n">
        <x:f>IF(A87="","",IF(AND(O87&gt;0,MAX(K87-L87,0)&gt;0,N87&lt;&gt;"Paga"),ROUND(MAX(K87-L87,0)*'Parâmetros'!$B$34,2),0))</x:f>
        <x:v>0</x:v>
      </x:c>
      <x:c r="Q87" s="131" t="n">
        <x:f>IF(A87="","",IF(AND(O87&gt;0,MAX(K87-L87,0)&gt;0,N87&lt;&gt;"Paga"),ROUND(MAX(K87-L87,0)*'Parâmetros'!$B$35*(O87/'Parâmetros'!$B$33),2),0))</x:f>
        <x:v>0</x:v>
      </x:c>
      <x:c r="R87" s="131" t="n">
        <x:f>IF(A87="","",IF(O87&gt;0,ROUND(MAX(K87-L87,0)+P87+Q87,2),0))</x:f>
        <x:v>0</x:v>
      </x:c>
      <x:c r="S87" s="131" t="n">
        <x:f>IF(A87="","",IF(OR(N87="Paga",O87&gt;0),0,ROUND(IF(K87=0,0,G87*MAX(K87-L87,0)/K87)/(1+'Parâmetros'!$C$13)^((C87-$A$5)/30),2)))</x:f>
        <x:v>59.86</x:v>
      </x:c>
      <x:c r="T87" s="131" t="n">
        <x:f>IF(A87="","",0)</x:f>
        <x:v>0</x:v>
      </x:c>
      <x:c r="U87" s="131" t="n">
        <x:f>IF(A87="","",0)</x:f>
        <x:v>0</x:v>
      </x:c>
      <x:c r="V87" s="131" t="n">
        <x:f>IF(A87="","",IF(N87="Paga",0,IF(O87&gt;0,R87,S87)))</x:f>
        <x:v>59.86</x:v>
      </x:c>
      <x:c r="W87" s="131" t="n">
        <x:f>IF(A87="","",ROUND(MAX(D87-F87,0),2))</x:f>
        <x:v>7988.24</x:v>
      </x:c>
      <x:c r="X87" s="131" t="n">
        <x:f>IF(A87="","",ROUND(SUM($G87:$G$407),2))</x:f>
        <x:v>10284.4</x:v>
      </x:c>
      <x:c r="Y87" s="131" t="n">
        <x:f>IF(A87="","",ROUND(MAX(X87-D87,0),2))</x:f>
        <x:v>2248.71</x:v>
      </x:c>
      <x:c r="Z87" s="131" t="n">
        <x:f>IF(A87="","",ROUND(SUM($V87:$V$407),2))</x:f>
        <x:v>6272.39</x:v>
      </x:c>
      <x:c r="AA87" s="131" t="n">
        <x:f>IF(A87="","",ROUND(SUM($K87:$K$407)-Z87,2))</x:f>
        <x:v>54385.71</x:v>
      </x:c>
      <x:c r="AB87" s="77"/>
      <x:c r="AC87" s="36" t="str">
        <x:f>IF(A87="","",IF(O87&gt;0,"Vencido: saldo da fatura + mora",IF(O87&lt;=0,"Vincendo: VP da parcela financeira; comissão/proteção futuras isentas","")))</x:f>
        <x:v>Vincendo: VP da parcela financeira; comissão/proteção futuras isentas</x:v>
      </x:c>
    </x:row>
    <x:row r="88">
      <x:c r="A88" s="129" t="n">
        <x:f>IF(ROW()-7&lt;=Contrato!$C$16,ROW()-7,"")</x:f>
        <x:v>81</x:v>
      </x:c>
      <x:c r="B88" s="129" t="n">
        <x:f>IF(A88="","",Contrato!$C$16)</x:f>
        <x:v>209</x:v>
      </x:c>
      <x:c r="C88" s="130" t="n">
        <x:f>IF(A88="","",IF(AB88&lt;&gt;"",AB88,IF(Contrato!$C$14="Mensal",EDATE(Contrato!$C$13,A88-1),Contrato!$C$13+(A88-1)*IF(Contrato!$C$14="Quinzenal",14,IF(Contrato!$C$14="Semanal",7,1)))))</x:f>
        <x:v>46829</x:v>
      </x:c>
      <x:c r="D88" s="131" t="n">
        <x:f>IF(A88="","",W87)</x:f>
        <x:v>7988.24</x:v>
      </x:c>
      <x:c r="E88" s="131" t="n">
        <x:f>IF(A88="","",ROUND(D88*Simulador!$I$18,2))</x:f>
        <x:v>31.48</x:v>
      </x:c>
      <x:c r="F88" s="131" t="n">
        <x:f>IF(A88="","",ROUND(MIN(D88,MAX(G88-E88,0)),2))</x:f>
        <x:v>47.64</x:v>
      </x:c>
      <x:c r="G88" s="131" t="n">
        <x:f>IF(A88="","",IF(A88&lt;Contrato!$C$16,Contrato!$C$27,Contrato!$C$28))</x:f>
        <x:v>79.12</x:v>
      </x:c>
      <x:c r="H88" s="131" t="n">
        <x:f>IF(A88="","",Contrato!$C$29)</x:f>
        <x:v>199.99</x:v>
      </x:c>
      <x:c r="I88" s="131" t="n">
        <x:f>IF(A88="","",Contrato!$C$30)</x:f>
        <x:v>187.5</x:v>
      </x:c>
      <x:c r="J88" s="131" t="n">
        <x:f>IF(A88="","",Contrato!$C$31)</x:f>
        <x:v>0</x:v>
      </x:c>
      <x:c r="K88" s="131" t="n">
        <x:f>IF(A88="","",ROUND(SUM(G88:J88),2))</x:f>
        <x:v>466.61</x:v>
      </x:c>
      <x:c r="L88" s="80"/>
      <x:c r="M88" s="77"/>
      <x:c r="N88" s="29" t="str">
        <x:f>IF(A88="","",IF(L88&gt;=K88,"Paga",IF(L88&gt;0,"Paga parcialmente",IF(C88&lt;$A$5,"Vencida","Prevista"))))</x:f>
        <x:v>Prevista</x:v>
      </x:c>
      <x:c r="O88" s="29" t="n">
        <x:f>IF(A88="","",$A$5-C88)</x:f>
        <x:v>-569</x:v>
      </x:c>
      <x:c r="P88" s="131" t="n">
        <x:f>IF(A88="","",IF(AND(O88&gt;0,MAX(K88-L88,0)&gt;0,N88&lt;&gt;"Paga"),ROUND(MAX(K88-L88,0)*'Parâmetros'!$B$34,2),0))</x:f>
        <x:v>0</x:v>
      </x:c>
      <x:c r="Q88" s="131" t="n">
        <x:f>IF(A88="","",IF(AND(O88&gt;0,MAX(K88-L88,0)&gt;0,N88&lt;&gt;"Paga"),ROUND(MAX(K88-L88,0)*'Parâmetros'!$B$35*(O88/'Parâmetros'!$B$33),2),0))</x:f>
        <x:v>0</x:v>
      </x:c>
      <x:c r="R88" s="131" t="n">
        <x:f>IF(A88="","",IF(O88&gt;0,ROUND(MAX(K88-L88,0)+P88+Q88,2),0))</x:f>
        <x:v>0</x:v>
      </x:c>
      <x:c r="S88" s="131" t="n">
        <x:f>IF(A88="","",IF(OR(N88="Paga",O88&gt;0),0,ROUND(IF(K88=0,0,G88*MAX(K88-L88,0)/K88)/(1+'Parâmetros'!$C$13)^((C88-$A$5)/30),2)))</x:f>
        <x:v>59.66</x:v>
      </x:c>
      <x:c r="T88" s="131" t="n">
        <x:f>IF(A88="","",0)</x:f>
        <x:v>0</x:v>
      </x:c>
      <x:c r="U88" s="131" t="n">
        <x:f>IF(A88="","",0)</x:f>
        <x:v>0</x:v>
      </x:c>
      <x:c r="V88" s="131" t="n">
        <x:f>IF(A88="","",IF(N88="Paga",0,IF(O88&gt;0,R88,S88)))</x:f>
        <x:v>59.66</x:v>
      </x:c>
      <x:c r="W88" s="131" t="n">
        <x:f>IF(A88="","",ROUND(MAX(D88-F88,0),2))</x:f>
        <x:v>7940.6</x:v>
      </x:c>
      <x:c r="X88" s="131" t="n">
        <x:f>IF(A88="","",ROUND(SUM($G88:$G$407),2))</x:f>
        <x:v>10205.28</x:v>
      </x:c>
      <x:c r="Y88" s="131" t="n">
        <x:f>IF(A88="","",ROUND(MAX(X88-D88,0),2))</x:f>
        <x:v>2217.04</x:v>
      </x:c>
      <x:c r="Z88" s="131" t="n">
        <x:f>IF(A88="","",ROUND(SUM($V88:$V$407),2))</x:f>
        <x:v>6212.53</x:v>
      </x:c>
      <x:c r="AA88" s="131" t="n">
        <x:f>IF(A88="","",ROUND(SUM($K88:$K$407)-Z88,2))</x:f>
        <x:v>53978.96</x:v>
      </x:c>
      <x:c r="AB88" s="77"/>
      <x:c r="AC88" s="36" t="str">
        <x:f>IF(A88="","",IF(O88&gt;0,"Vencido: saldo da fatura + mora",IF(O88&lt;=0,"Vincendo: VP da parcela financeira; comissão/proteção futuras isentas","")))</x:f>
        <x:v>Vincendo: VP da parcela financeira; comissão/proteção futuras isentas</x:v>
      </x:c>
    </x:row>
    <x:row r="89">
      <x:c r="A89" s="129" t="n">
        <x:f>IF(ROW()-7&lt;=Contrato!$C$16,ROW()-7,"")</x:f>
        <x:v>82</x:v>
      </x:c>
      <x:c r="B89" s="129" t="n">
        <x:f>IF(A89="","",Contrato!$C$16)</x:f>
        <x:v>209</x:v>
      </x:c>
      <x:c r="C89" s="130" t="n">
        <x:f>IF(A89="","",IF(AB89&lt;&gt;"",AB89,IF(Contrato!$C$14="Mensal",EDATE(Contrato!$C$13,A89-1),Contrato!$C$13+(A89-1)*IF(Contrato!$C$14="Quinzenal",14,IF(Contrato!$C$14="Semanal",7,1)))))</x:f>
        <x:v>46836</x:v>
      </x:c>
      <x:c r="D89" s="131" t="n">
        <x:f>IF(A89="","",W88)</x:f>
        <x:v>7940.6</x:v>
      </x:c>
      <x:c r="E89" s="131" t="n">
        <x:f>IF(A89="","",ROUND(D89*Simulador!$I$18,2))</x:f>
        <x:v>31.29</x:v>
      </x:c>
      <x:c r="F89" s="131" t="n">
        <x:f>IF(A89="","",ROUND(MIN(D89,MAX(G89-E89,0)),2))</x:f>
        <x:v>47.83</x:v>
      </x:c>
      <x:c r="G89" s="131" t="n">
        <x:f>IF(A89="","",IF(A89&lt;Contrato!$C$16,Contrato!$C$27,Contrato!$C$28))</x:f>
        <x:v>79.12</x:v>
      </x:c>
      <x:c r="H89" s="131" t="n">
        <x:f>IF(A89="","",Contrato!$C$29)</x:f>
        <x:v>199.99</x:v>
      </x:c>
      <x:c r="I89" s="131" t="n">
        <x:f>IF(A89="","",Contrato!$C$30)</x:f>
        <x:v>187.5</x:v>
      </x:c>
      <x:c r="J89" s="131" t="n">
        <x:f>IF(A89="","",Contrato!$C$31)</x:f>
        <x:v>0</x:v>
      </x:c>
      <x:c r="K89" s="131" t="n">
        <x:f>IF(A89="","",ROUND(SUM(G89:J89),2))</x:f>
        <x:v>466.61</x:v>
      </x:c>
      <x:c r="L89" s="80"/>
      <x:c r="M89" s="77"/>
      <x:c r="N89" s="29" t="str">
        <x:f>IF(A89="","",IF(L89&gt;=K89,"Paga",IF(L89&gt;0,"Paga parcialmente",IF(C89&lt;$A$5,"Vencida","Prevista"))))</x:f>
        <x:v>Prevista</x:v>
      </x:c>
      <x:c r="O89" s="29" t="n">
        <x:f>IF(A89="","",$A$5-C89)</x:f>
        <x:v>-576</x:v>
      </x:c>
      <x:c r="P89" s="131" t="n">
        <x:f>IF(A89="","",IF(AND(O89&gt;0,MAX(K89-L89,0)&gt;0,N89&lt;&gt;"Paga"),ROUND(MAX(K89-L89,0)*'Parâmetros'!$B$34,2),0))</x:f>
        <x:v>0</x:v>
      </x:c>
      <x:c r="Q89" s="131" t="n">
        <x:f>IF(A89="","",IF(AND(O89&gt;0,MAX(K89-L89,0)&gt;0,N89&lt;&gt;"Paga"),ROUND(MAX(K89-L89,0)*'Parâmetros'!$B$35*(O89/'Parâmetros'!$B$33),2),0))</x:f>
        <x:v>0</x:v>
      </x:c>
      <x:c r="R89" s="131" t="n">
        <x:f>IF(A89="","",IF(O89&gt;0,ROUND(MAX(K89-L89,0)+P89+Q89,2),0))</x:f>
        <x:v>0</x:v>
      </x:c>
      <x:c r="S89" s="131" t="n">
        <x:f>IF(A89="","",IF(OR(N89="Paga",O89&gt;0),0,ROUND(IF(K89=0,0,G89*MAX(K89-L89,0)/K89)/(1+'Parâmetros'!$C$13)^((C89-$A$5)/30),2)))</x:f>
        <x:v>59.45</x:v>
      </x:c>
      <x:c r="T89" s="131" t="n">
        <x:f>IF(A89="","",0)</x:f>
        <x:v>0</x:v>
      </x:c>
      <x:c r="U89" s="131" t="n">
        <x:f>IF(A89="","",0)</x:f>
        <x:v>0</x:v>
      </x:c>
      <x:c r="V89" s="131" t="n">
        <x:f>IF(A89="","",IF(N89="Paga",0,IF(O89&gt;0,R89,S89)))</x:f>
        <x:v>59.45</x:v>
      </x:c>
      <x:c r="W89" s="131" t="n">
        <x:f>IF(A89="","",ROUND(MAX(D89-F89,0),2))</x:f>
        <x:v>7892.77</x:v>
      </x:c>
      <x:c r="X89" s="131" t="n">
        <x:f>IF(A89="","",ROUND(SUM($G89:$G$407),2))</x:f>
        <x:v>10126.16</x:v>
      </x:c>
      <x:c r="Y89" s="131" t="n">
        <x:f>IF(A89="","",ROUND(MAX(X89-D89,0),2))</x:f>
        <x:v>2185.56</x:v>
      </x:c>
      <x:c r="Z89" s="131" t="n">
        <x:f>IF(A89="","",ROUND(SUM($V89:$V$407),2))</x:f>
        <x:v>6152.87</x:v>
      </x:c>
      <x:c r="AA89" s="131" t="n">
        <x:f>IF(A89="","",ROUND(SUM($K89:$K$407)-Z89,2))</x:f>
        <x:v>53572.01</x:v>
      </x:c>
      <x:c r="AB89" s="77"/>
      <x:c r="AC89" s="36" t="str">
        <x:f>IF(A89="","",IF(O89&gt;0,"Vencido: saldo da fatura + mora",IF(O89&lt;=0,"Vincendo: VP da parcela financeira; comissão/proteção futuras isentas","")))</x:f>
        <x:v>Vincendo: VP da parcela financeira; comissão/proteção futuras isentas</x:v>
      </x:c>
    </x:row>
    <x:row r="90">
      <x:c r="A90" s="129" t="n">
        <x:f>IF(ROW()-7&lt;=Contrato!$C$16,ROW()-7,"")</x:f>
        <x:v>83</x:v>
      </x:c>
      <x:c r="B90" s="129" t="n">
        <x:f>IF(A90="","",Contrato!$C$16)</x:f>
        <x:v>209</x:v>
      </x:c>
      <x:c r="C90" s="130" t="n">
        <x:f>IF(A90="","",IF(AB90&lt;&gt;"",AB90,IF(Contrato!$C$14="Mensal",EDATE(Contrato!$C$13,A90-1),Contrato!$C$13+(A90-1)*IF(Contrato!$C$14="Quinzenal",14,IF(Contrato!$C$14="Semanal",7,1)))))</x:f>
        <x:v>46843</x:v>
      </x:c>
      <x:c r="D90" s="131" t="n">
        <x:f>IF(A90="","",W89)</x:f>
        <x:v>7892.77</x:v>
      </x:c>
      <x:c r="E90" s="131" t="n">
        <x:f>IF(A90="","",ROUND(D90*Simulador!$I$18,2))</x:f>
        <x:v>31.11</x:v>
      </x:c>
      <x:c r="F90" s="131" t="n">
        <x:f>IF(A90="","",ROUND(MIN(D90,MAX(G90-E90,0)),2))</x:f>
        <x:v>48.01</x:v>
      </x:c>
      <x:c r="G90" s="131" t="n">
        <x:f>IF(A90="","",IF(A90&lt;Contrato!$C$16,Contrato!$C$27,Contrato!$C$28))</x:f>
        <x:v>79.12</x:v>
      </x:c>
      <x:c r="H90" s="131" t="n">
        <x:f>IF(A90="","",Contrato!$C$29)</x:f>
        <x:v>199.99</x:v>
      </x:c>
      <x:c r="I90" s="131" t="n">
        <x:f>IF(A90="","",Contrato!$C$30)</x:f>
        <x:v>187.5</x:v>
      </x:c>
      <x:c r="J90" s="131" t="n">
        <x:f>IF(A90="","",Contrato!$C$31)</x:f>
        <x:v>0</x:v>
      </x:c>
      <x:c r="K90" s="131" t="n">
        <x:f>IF(A90="","",ROUND(SUM(G90:J90),2))</x:f>
        <x:v>466.61</x:v>
      </x:c>
      <x:c r="L90" s="80"/>
      <x:c r="M90" s="77"/>
      <x:c r="N90" s="29" t="str">
        <x:f>IF(A90="","",IF(L90&gt;=K90,"Paga",IF(L90&gt;0,"Paga parcialmente",IF(C90&lt;$A$5,"Vencida","Prevista"))))</x:f>
        <x:v>Prevista</x:v>
      </x:c>
      <x:c r="O90" s="29" t="n">
        <x:f>IF(A90="","",$A$5-C90)</x:f>
        <x:v>-583</x:v>
      </x:c>
      <x:c r="P90" s="131" t="n">
        <x:f>IF(A90="","",IF(AND(O90&gt;0,MAX(K90-L90,0)&gt;0,N90&lt;&gt;"Paga"),ROUND(MAX(K90-L90,0)*'Parâmetros'!$B$34,2),0))</x:f>
        <x:v>0</x:v>
      </x:c>
      <x:c r="Q90" s="131" t="n">
        <x:f>IF(A90="","",IF(AND(O90&gt;0,MAX(K90-L90,0)&gt;0,N90&lt;&gt;"Paga"),ROUND(MAX(K90-L90,0)*'Parâmetros'!$B$35*(O90/'Parâmetros'!$B$33),2),0))</x:f>
        <x:v>0</x:v>
      </x:c>
      <x:c r="R90" s="131" t="n">
        <x:f>IF(A90="","",IF(O90&gt;0,ROUND(MAX(K90-L90,0)+P90+Q90,2),0))</x:f>
        <x:v>0</x:v>
      </x:c>
      <x:c r="S90" s="131" t="n">
        <x:f>IF(A90="","",IF(OR(N90="Paga",O90&gt;0),0,ROUND(IF(K90=0,0,G90*MAX(K90-L90,0)/K90)/(1+'Parâmetros'!$C$13)^((C90-$A$5)/30),2)))</x:f>
        <x:v>59.24</x:v>
      </x:c>
      <x:c r="T90" s="131" t="n">
        <x:f>IF(A90="","",0)</x:f>
        <x:v>0</x:v>
      </x:c>
      <x:c r="U90" s="131" t="n">
        <x:f>IF(A90="","",0)</x:f>
        <x:v>0</x:v>
      </x:c>
      <x:c r="V90" s="131" t="n">
        <x:f>IF(A90="","",IF(N90="Paga",0,IF(O90&gt;0,R90,S90)))</x:f>
        <x:v>59.24</x:v>
      </x:c>
      <x:c r="W90" s="131" t="n">
        <x:f>IF(A90="","",ROUND(MAX(D90-F90,0),2))</x:f>
        <x:v>7844.76</x:v>
      </x:c>
      <x:c r="X90" s="131" t="n">
        <x:f>IF(A90="","",ROUND(SUM($G90:$G$407),2))</x:f>
        <x:v>10047.04</x:v>
      </x:c>
      <x:c r="Y90" s="131" t="n">
        <x:f>IF(A90="","",ROUND(MAX(X90-D90,0),2))</x:f>
        <x:v>2154.27</x:v>
      </x:c>
      <x:c r="Z90" s="131" t="n">
        <x:f>IF(A90="","",ROUND(SUM($V90:$V$407),2))</x:f>
        <x:v>6093.42</x:v>
      </x:c>
      <x:c r="AA90" s="131" t="n">
        <x:f>IF(A90="","",ROUND(SUM($K90:$K$407)-Z90,2))</x:f>
        <x:v>53164.85</x:v>
      </x:c>
      <x:c r="AB90" s="77"/>
      <x:c r="AC90" s="36" t="str">
        <x:f>IF(A90="","",IF(O90&gt;0,"Vencido: saldo da fatura + mora",IF(O90&lt;=0,"Vincendo: VP da parcela financeira; comissão/proteção futuras isentas","")))</x:f>
        <x:v>Vincendo: VP da parcela financeira; comissão/proteção futuras isentas</x:v>
      </x:c>
    </x:row>
    <x:row r="91">
      <x:c r="A91" s="129" t="n">
        <x:f>IF(ROW()-7&lt;=Contrato!$C$16,ROW()-7,"")</x:f>
        <x:v>84</x:v>
      </x:c>
      <x:c r="B91" s="129" t="n">
        <x:f>IF(A91="","",Contrato!$C$16)</x:f>
        <x:v>209</x:v>
      </x:c>
      <x:c r="C91" s="130" t="n">
        <x:f>IF(A91="","",IF(AB91&lt;&gt;"",AB91,IF(Contrato!$C$14="Mensal",EDATE(Contrato!$C$13,A91-1),Contrato!$C$13+(A91-1)*IF(Contrato!$C$14="Quinzenal",14,IF(Contrato!$C$14="Semanal",7,1)))))</x:f>
        <x:v>46850</x:v>
      </x:c>
      <x:c r="D91" s="131" t="n">
        <x:f>IF(A91="","",W90)</x:f>
        <x:v>7844.76</x:v>
      </x:c>
      <x:c r="E91" s="131" t="n">
        <x:f>IF(A91="","",ROUND(D91*Simulador!$I$18,2))</x:f>
        <x:v>30.92</x:v>
      </x:c>
      <x:c r="F91" s="131" t="n">
        <x:f>IF(A91="","",ROUND(MIN(D91,MAX(G91-E91,0)),2))</x:f>
        <x:v>48.2</x:v>
      </x:c>
      <x:c r="G91" s="131" t="n">
        <x:f>IF(A91="","",IF(A91&lt;Contrato!$C$16,Contrato!$C$27,Contrato!$C$28))</x:f>
        <x:v>79.12</x:v>
      </x:c>
      <x:c r="H91" s="131" t="n">
        <x:f>IF(A91="","",Contrato!$C$29)</x:f>
        <x:v>199.99</x:v>
      </x:c>
      <x:c r="I91" s="131" t="n">
        <x:f>IF(A91="","",Contrato!$C$30)</x:f>
        <x:v>187.5</x:v>
      </x:c>
      <x:c r="J91" s="131" t="n">
        <x:f>IF(A91="","",Contrato!$C$31)</x:f>
        <x:v>0</x:v>
      </x:c>
      <x:c r="K91" s="131" t="n">
        <x:f>IF(A91="","",ROUND(SUM(G91:J91),2))</x:f>
        <x:v>466.61</x:v>
      </x:c>
      <x:c r="L91" s="80"/>
      <x:c r="M91" s="77"/>
      <x:c r="N91" s="29" t="str">
        <x:f>IF(A91="","",IF(L91&gt;=K91,"Paga",IF(L91&gt;0,"Paga parcialmente",IF(C91&lt;$A$5,"Vencida","Prevista"))))</x:f>
        <x:v>Prevista</x:v>
      </x:c>
      <x:c r="O91" s="29" t="n">
        <x:f>IF(A91="","",$A$5-C91)</x:f>
        <x:v>-590</x:v>
      </x:c>
      <x:c r="P91" s="131" t="n">
        <x:f>IF(A91="","",IF(AND(O91&gt;0,MAX(K91-L91,0)&gt;0,N91&lt;&gt;"Paga"),ROUND(MAX(K91-L91,0)*'Parâmetros'!$B$34,2),0))</x:f>
        <x:v>0</x:v>
      </x:c>
      <x:c r="Q91" s="131" t="n">
        <x:f>IF(A91="","",IF(AND(O91&gt;0,MAX(K91-L91,0)&gt;0,N91&lt;&gt;"Paga"),ROUND(MAX(K91-L91,0)*'Parâmetros'!$B$35*(O91/'Parâmetros'!$B$33),2),0))</x:f>
        <x:v>0</x:v>
      </x:c>
      <x:c r="R91" s="131" t="n">
        <x:f>IF(A91="","",IF(O91&gt;0,ROUND(MAX(K91-L91,0)+P91+Q91,2),0))</x:f>
        <x:v>0</x:v>
      </x:c>
      <x:c r="S91" s="131" t="n">
        <x:f>IF(A91="","",IF(OR(N91="Paga",O91&gt;0),0,ROUND(IF(K91=0,0,G91*MAX(K91-L91,0)/K91)/(1+'Parâmetros'!$C$13)^((C91-$A$5)/30),2)))</x:f>
        <x:v>59.04</x:v>
      </x:c>
      <x:c r="T91" s="131" t="n">
        <x:f>IF(A91="","",0)</x:f>
        <x:v>0</x:v>
      </x:c>
      <x:c r="U91" s="131" t="n">
        <x:f>IF(A91="","",0)</x:f>
        <x:v>0</x:v>
      </x:c>
      <x:c r="V91" s="131" t="n">
        <x:f>IF(A91="","",IF(N91="Paga",0,IF(O91&gt;0,R91,S91)))</x:f>
        <x:v>59.04</x:v>
      </x:c>
      <x:c r="W91" s="131" t="n">
        <x:f>IF(A91="","",ROUND(MAX(D91-F91,0),2))</x:f>
        <x:v>7796.56</x:v>
      </x:c>
      <x:c r="X91" s="131" t="n">
        <x:f>IF(A91="","",ROUND(SUM($G91:$G$407),2))</x:f>
        <x:v>9967.92</x:v>
      </x:c>
      <x:c r="Y91" s="131" t="n">
        <x:f>IF(A91="","",ROUND(MAX(X91-D91,0),2))</x:f>
        <x:v>2123.16</x:v>
      </x:c>
      <x:c r="Z91" s="131" t="n">
        <x:f>IF(A91="","",ROUND(SUM($V91:$V$407),2))</x:f>
        <x:v>6034.18</x:v>
      </x:c>
      <x:c r="AA91" s="131" t="n">
        <x:f>IF(A91="","",ROUND(SUM($K91:$K$407)-Z91,2))</x:f>
        <x:v>52757.48</x:v>
      </x:c>
      <x:c r="AB91" s="77"/>
      <x:c r="AC91" s="36" t="str">
        <x:f>IF(A91="","",IF(O91&gt;0,"Vencido: saldo da fatura + mora",IF(O91&lt;=0,"Vincendo: VP da parcela financeira; comissão/proteção futuras isentas","")))</x:f>
        <x:v>Vincendo: VP da parcela financeira; comissão/proteção futuras isentas</x:v>
      </x:c>
    </x:row>
    <x:row r="92">
      <x:c r="A92" s="129" t="n">
        <x:f>IF(ROW()-7&lt;=Contrato!$C$16,ROW()-7,"")</x:f>
        <x:v>85</x:v>
      </x:c>
      <x:c r="B92" s="129" t="n">
        <x:f>IF(A92="","",Contrato!$C$16)</x:f>
        <x:v>209</x:v>
      </x:c>
      <x:c r="C92" s="130" t="n">
        <x:f>IF(A92="","",IF(AB92&lt;&gt;"",AB92,IF(Contrato!$C$14="Mensal",EDATE(Contrato!$C$13,A92-1),Contrato!$C$13+(A92-1)*IF(Contrato!$C$14="Quinzenal",14,IF(Contrato!$C$14="Semanal",7,1)))))</x:f>
        <x:v>46857</x:v>
      </x:c>
      <x:c r="D92" s="131" t="n">
        <x:f>IF(A92="","",W91)</x:f>
        <x:v>7796.56</x:v>
      </x:c>
      <x:c r="E92" s="131" t="n">
        <x:f>IF(A92="","",ROUND(D92*Simulador!$I$18,2))</x:f>
        <x:v>30.73</x:v>
      </x:c>
      <x:c r="F92" s="131" t="n">
        <x:f>IF(A92="","",ROUND(MIN(D92,MAX(G92-E92,0)),2))</x:f>
        <x:v>48.39</x:v>
      </x:c>
      <x:c r="G92" s="131" t="n">
        <x:f>IF(A92="","",IF(A92&lt;Contrato!$C$16,Contrato!$C$27,Contrato!$C$28))</x:f>
        <x:v>79.12</x:v>
      </x:c>
      <x:c r="H92" s="131" t="n">
        <x:f>IF(A92="","",Contrato!$C$29)</x:f>
        <x:v>199.99</x:v>
      </x:c>
      <x:c r="I92" s="131" t="n">
        <x:f>IF(A92="","",Contrato!$C$30)</x:f>
        <x:v>187.5</x:v>
      </x:c>
      <x:c r="J92" s="131" t="n">
        <x:f>IF(A92="","",Contrato!$C$31)</x:f>
        <x:v>0</x:v>
      </x:c>
      <x:c r="K92" s="131" t="n">
        <x:f>IF(A92="","",ROUND(SUM(G92:J92),2))</x:f>
        <x:v>466.61</x:v>
      </x:c>
      <x:c r="L92" s="80"/>
      <x:c r="M92" s="77"/>
      <x:c r="N92" s="29" t="str">
        <x:f>IF(A92="","",IF(L92&gt;=K92,"Paga",IF(L92&gt;0,"Paga parcialmente",IF(C92&lt;$A$5,"Vencida","Prevista"))))</x:f>
        <x:v>Prevista</x:v>
      </x:c>
      <x:c r="O92" s="29" t="n">
        <x:f>IF(A92="","",$A$5-C92)</x:f>
        <x:v>-597</x:v>
      </x:c>
      <x:c r="P92" s="131" t="n">
        <x:f>IF(A92="","",IF(AND(O92&gt;0,MAX(K92-L92,0)&gt;0,N92&lt;&gt;"Paga"),ROUND(MAX(K92-L92,0)*'Parâmetros'!$B$34,2),0))</x:f>
        <x:v>0</x:v>
      </x:c>
      <x:c r="Q92" s="131" t="n">
        <x:f>IF(A92="","",IF(AND(O92&gt;0,MAX(K92-L92,0)&gt;0,N92&lt;&gt;"Paga"),ROUND(MAX(K92-L92,0)*'Parâmetros'!$B$35*(O92/'Parâmetros'!$B$33),2),0))</x:f>
        <x:v>0</x:v>
      </x:c>
      <x:c r="R92" s="131" t="n">
        <x:f>IF(A92="","",IF(O92&gt;0,ROUND(MAX(K92-L92,0)+P92+Q92,2),0))</x:f>
        <x:v>0</x:v>
      </x:c>
      <x:c r="S92" s="131" t="n">
        <x:f>IF(A92="","",IF(OR(N92="Paga",O92&gt;0),0,ROUND(IF(K92=0,0,G92*MAX(K92-L92,0)/K92)/(1+'Parâmetros'!$C$13)^((C92-$A$5)/30),2)))</x:f>
        <x:v>58.83</x:v>
      </x:c>
      <x:c r="T92" s="131" t="n">
        <x:f>IF(A92="","",0)</x:f>
        <x:v>0</x:v>
      </x:c>
      <x:c r="U92" s="131" t="n">
        <x:f>IF(A92="","",0)</x:f>
        <x:v>0</x:v>
      </x:c>
      <x:c r="V92" s="131" t="n">
        <x:f>IF(A92="","",IF(N92="Paga",0,IF(O92&gt;0,R92,S92)))</x:f>
        <x:v>58.83</x:v>
      </x:c>
      <x:c r="W92" s="131" t="n">
        <x:f>IF(A92="","",ROUND(MAX(D92-F92,0),2))</x:f>
        <x:v>7748.17</x:v>
      </x:c>
      <x:c r="X92" s="131" t="n">
        <x:f>IF(A92="","",ROUND(SUM($G92:$G$407),2))</x:f>
        <x:v>9888.8</x:v>
      </x:c>
      <x:c r="Y92" s="131" t="n">
        <x:f>IF(A92="","",ROUND(MAX(X92-D92,0),2))</x:f>
        <x:v>2092.24</x:v>
      </x:c>
      <x:c r="Z92" s="131" t="n">
        <x:f>IF(A92="","",ROUND(SUM($V92:$V$407),2))</x:f>
        <x:v>5975.14</x:v>
      </x:c>
      <x:c r="AA92" s="131" t="n">
        <x:f>IF(A92="","",ROUND(SUM($K92:$K$407)-Z92,2))</x:f>
        <x:v>52349.91</x:v>
      </x:c>
      <x:c r="AB92" s="77"/>
      <x:c r="AC92" s="36" t="str">
        <x:f>IF(A92="","",IF(O92&gt;0,"Vencido: saldo da fatura + mora",IF(O92&lt;=0,"Vincendo: VP da parcela financeira; comissão/proteção futuras isentas","")))</x:f>
        <x:v>Vincendo: VP da parcela financeira; comissão/proteção futuras isentas</x:v>
      </x:c>
    </x:row>
    <x:row r="93">
      <x:c r="A93" s="129" t="n">
        <x:f>IF(ROW()-7&lt;=Contrato!$C$16,ROW()-7,"")</x:f>
        <x:v>86</x:v>
      </x:c>
      <x:c r="B93" s="129" t="n">
        <x:f>IF(A93="","",Contrato!$C$16)</x:f>
        <x:v>209</x:v>
      </x:c>
      <x:c r="C93" s="130" t="n">
        <x:f>IF(A93="","",IF(AB93&lt;&gt;"",AB93,IF(Contrato!$C$14="Mensal",EDATE(Contrato!$C$13,A93-1),Contrato!$C$13+(A93-1)*IF(Contrato!$C$14="Quinzenal",14,IF(Contrato!$C$14="Semanal",7,1)))))</x:f>
        <x:v>46864</x:v>
      </x:c>
      <x:c r="D93" s="131" t="n">
        <x:f>IF(A93="","",W92)</x:f>
        <x:v>7748.17</x:v>
      </x:c>
      <x:c r="E93" s="131" t="n">
        <x:f>IF(A93="","",ROUND(D93*Simulador!$I$18,2))</x:f>
        <x:v>30.54</x:v>
      </x:c>
      <x:c r="F93" s="131" t="n">
        <x:f>IF(A93="","",ROUND(MIN(D93,MAX(G93-E93,0)),2))</x:f>
        <x:v>48.58</x:v>
      </x:c>
      <x:c r="G93" s="131" t="n">
        <x:f>IF(A93="","",IF(A93&lt;Contrato!$C$16,Contrato!$C$27,Contrato!$C$28))</x:f>
        <x:v>79.12</x:v>
      </x:c>
      <x:c r="H93" s="131" t="n">
        <x:f>IF(A93="","",Contrato!$C$29)</x:f>
        <x:v>199.99</x:v>
      </x:c>
      <x:c r="I93" s="131" t="n">
        <x:f>IF(A93="","",Contrato!$C$30)</x:f>
        <x:v>187.5</x:v>
      </x:c>
      <x:c r="J93" s="131" t="n">
        <x:f>IF(A93="","",Contrato!$C$31)</x:f>
        <x:v>0</x:v>
      </x:c>
      <x:c r="K93" s="131" t="n">
        <x:f>IF(A93="","",ROUND(SUM(G93:J93),2))</x:f>
        <x:v>466.61</x:v>
      </x:c>
      <x:c r="L93" s="80"/>
      <x:c r="M93" s="77"/>
      <x:c r="N93" s="29" t="str">
        <x:f>IF(A93="","",IF(L93&gt;=K93,"Paga",IF(L93&gt;0,"Paga parcialmente",IF(C93&lt;$A$5,"Vencida","Prevista"))))</x:f>
        <x:v>Prevista</x:v>
      </x:c>
      <x:c r="O93" s="29" t="n">
        <x:f>IF(A93="","",$A$5-C93)</x:f>
        <x:v>-604</x:v>
      </x:c>
      <x:c r="P93" s="131" t="n">
        <x:f>IF(A93="","",IF(AND(O93&gt;0,MAX(K93-L93,0)&gt;0,N93&lt;&gt;"Paga"),ROUND(MAX(K93-L93,0)*'Parâmetros'!$B$34,2),0))</x:f>
        <x:v>0</x:v>
      </x:c>
      <x:c r="Q93" s="131" t="n">
        <x:f>IF(A93="","",IF(AND(O93&gt;0,MAX(K93-L93,0)&gt;0,N93&lt;&gt;"Paga"),ROUND(MAX(K93-L93,0)*'Parâmetros'!$B$35*(O93/'Parâmetros'!$B$33),2),0))</x:f>
        <x:v>0</x:v>
      </x:c>
      <x:c r="R93" s="131" t="n">
        <x:f>IF(A93="","",IF(O93&gt;0,ROUND(MAX(K93-L93,0)+P93+Q93,2),0))</x:f>
        <x:v>0</x:v>
      </x:c>
      <x:c r="S93" s="131" t="n">
        <x:f>IF(A93="","",IF(OR(N93="Paga",O93&gt;0),0,ROUND(IF(K93=0,0,G93*MAX(K93-L93,0)/K93)/(1+'Parâmetros'!$C$13)^((C93-$A$5)/30),2)))</x:f>
        <x:v>58.63</x:v>
      </x:c>
      <x:c r="T93" s="131" t="n">
        <x:f>IF(A93="","",0)</x:f>
        <x:v>0</x:v>
      </x:c>
      <x:c r="U93" s="131" t="n">
        <x:f>IF(A93="","",0)</x:f>
        <x:v>0</x:v>
      </x:c>
      <x:c r="V93" s="131" t="n">
        <x:f>IF(A93="","",IF(N93="Paga",0,IF(O93&gt;0,R93,S93)))</x:f>
        <x:v>58.63</x:v>
      </x:c>
      <x:c r="W93" s="131" t="n">
        <x:f>IF(A93="","",ROUND(MAX(D93-F93,0),2))</x:f>
        <x:v>7699.59</x:v>
      </x:c>
      <x:c r="X93" s="131" t="n">
        <x:f>IF(A93="","",ROUND(SUM($G93:$G$407),2))</x:f>
        <x:v>9809.68</x:v>
      </x:c>
      <x:c r="Y93" s="131" t="n">
        <x:f>IF(A93="","",ROUND(MAX(X93-D93,0),2))</x:f>
        <x:v>2061.51</x:v>
      </x:c>
      <x:c r="Z93" s="131" t="n">
        <x:f>IF(A93="","",ROUND(SUM($V93:$V$407),2))</x:f>
        <x:v>5916.31</x:v>
      </x:c>
      <x:c r="AA93" s="131" t="n">
        <x:f>IF(A93="","",ROUND(SUM($K93:$K$407)-Z93,2))</x:f>
        <x:v>51942.13</x:v>
      </x:c>
      <x:c r="AB93" s="77"/>
      <x:c r="AC93" s="36" t="str">
        <x:f>IF(A93="","",IF(O93&gt;0,"Vencido: saldo da fatura + mora",IF(O93&lt;=0,"Vincendo: VP da parcela financeira; comissão/proteção futuras isentas","")))</x:f>
        <x:v>Vincendo: VP da parcela financeira; comissão/proteção futuras isentas</x:v>
      </x:c>
    </x:row>
    <x:row r="94">
      <x:c r="A94" s="129" t="n">
        <x:f>IF(ROW()-7&lt;=Contrato!$C$16,ROW()-7,"")</x:f>
        <x:v>87</x:v>
      </x:c>
      <x:c r="B94" s="129" t="n">
        <x:f>IF(A94="","",Contrato!$C$16)</x:f>
        <x:v>209</x:v>
      </x:c>
      <x:c r="C94" s="130" t="n">
        <x:f>IF(A94="","",IF(AB94&lt;&gt;"",AB94,IF(Contrato!$C$14="Mensal",EDATE(Contrato!$C$13,A94-1),Contrato!$C$13+(A94-1)*IF(Contrato!$C$14="Quinzenal",14,IF(Contrato!$C$14="Semanal",7,1)))))</x:f>
        <x:v>46871</x:v>
      </x:c>
      <x:c r="D94" s="131" t="n">
        <x:f>IF(A94="","",W93)</x:f>
        <x:v>7699.59</x:v>
      </x:c>
      <x:c r="E94" s="131" t="n">
        <x:f>IF(A94="","",ROUND(D94*Simulador!$I$18,2))</x:f>
        <x:v>30.34</x:v>
      </x:c>
      <x:c r="F94" s="131" t="n">
        <x:f>IF(A94="","",ROUND(MIN(D94,MAX(G94-E94,0)),2))</x:f>
        <x:v>48.78</x:v>
      </x:c>
      <x:c r="G94" s="131" t="n">
        <x:f>IF(A94="","",IF(A94&lt;Contrato!$C$16,Contrato!$C$27,Contrato!$C$28))</x:f>
        <x:v>79.12</x:v>
      </x:c>
      <x:c r="H94" s="131" t="n">
        <x:f>IF(A94="","",Contrato!$C$29)</x:f>
        <x:v>199.99</x:v>
      </x:c>
      <x:c r="I94" s="131" t="n">
        <x:f>IF(A94="","",Contrato!$C$30)</x:f>
        <x:v>187.5</x:v>
      </x:c>
      <x:c r="J94" s="131" t="n">
        <x:f>IF(A94="","",Contrato!$C$31)</x:f>
        <x:v>0</x:v>
      </x:c>
      <x:c r="K94" s="131" t="n">
        <x:f>IF(A94="","",ROUND(SUM(G94:J94),2))</x:f>
        <x:v>466.61</x:v>
      </x:c>
      <x:c r="L94" s="80"/>
      <x:c r="M94" s="77"/>
      <x:c r="N94" s="29" t="str">
        <x:f>IF(A94="","",IF(L94&gt;=K94,"Paga",IF(L94&gt;0,"Paga parcialmente",IF(C94&lt;$A$5,"Vencida","Prevista"))))</x:f>
        <x:v>Prevista</x:v>
      </x:c>
      <x:c r="O94" s="29" t="n">
        <x:f>IF(A94="","",$A$5-C94)</x:f>
        <x:v>-611</x:v>
      </x:c>
      <x:c r="P94" s="131" t="n">
        <x:f>IF(A94="","",IF(AND(O94&gt;0,MAX(K94-L94,0)&gt;0,N94&lt;&gt;"Paga"),ROUND(MAX(K94-L94,0)*'Parâmetros'!$B$34,2),0))</x:f>
        <x:v>0</x:v>
      </x:c>
      <x:c r="Q94" s="131" t="n">
        <x:f>IF(A94="","",IF(AND(O94&gt;0,MAX(K94-L94,0)&gt;0,N94&lt;&gt;"Paga"),ROUND(MAX(K94-L94,0)*'Parâmetros'!$B$35*(O94/'Parâmetros'!$B$33),2),0))</x:f>
        <x:v>0</x:v>
      </x:c>
      <x:c r="R94" s="131" t="n">
        <x:f>IF(A94="","",IF(O94&gt;0,ROUND(MAX(K94-L94,0)+P94+Q94,2),0))</x:f>
        <x:v>0</x:v>
      </x:c>
      <x:c r="S94" s="131" t="n">
        <x:f>IF(A94="","",IF(OR(N94="Paga",O94&gt;0),0,ROUND(IF(K94=0,0,G94*MAX(K94-L94,0)/K94)/(1+'Parâmetros'!$C$13)^((C94-$A$5)/30),2)))</x:f>
        <x:v>58.42</x:v>
      </x:c>
      <x:c r="T94" s="131" t="n">
        <x:f>IF(A94="","",0)</x:f>
        <x:v>0</x:v>
      </x:c>
      <x:c r="U94" s="131" t="n">
        <x:f>IF(A94="","",0)</x:f>
        <x:v>0</x:v>
      </x:c>
      <x:c r="V94" s="131" t="n">
        <x:f>IF(A94="","",IF(N94="Paga",0,IF(O94&gt;0,R94,S94)))</x:f>
        <x:v>58.42</x:v>
      </x:c>
      <x:c r="W94" s="131" t="n">
        <x:f>IF(A94="","",ROUND(MAX(D94-F94,0),2))</x:f>
        <x:v>7650.81</x:v>
      </x:c>
      <x:c r="X94" s="131" t="n">
        <x:f>IF(A94="","",ROUND(SUM($G94:$G$407),2))</x:f>
        <x:v>9730.56</x:v>
      </x:c>
      <x:c r="Y94" s="131" t="n">
        <x:f>IF(A94="","",ROUND(MAX(X94-D94,0),2))</x:f>
        <x:v>2030.97</x:v>
      </x:c>
      <x:c r="Z94" s="131" t="n">
        <x:f>IF(A94="","",ROUND(SUM($V94:$V$407),2))</x:f>
        <x:v>5857.68</x:v>
      </x:c>
      <x:c r="AA94" s="131" t="n">
        <x:f>IF(A94="","",ROUND(SUM($K94:$K$407)-Z94,2))</x:f>
        <x:v>51534.15</x:v>
      </x:c>
      <x:c r="AB94" s="77"/>
      <x:c r="AC94" s="36" t="str">
        <x:f>IF(A94="","",IF(O94&gt;0,"Vencido: saldo da fatura + mora",IF(O94&lt;=0,"Vincendo: VP da parcela financeira; comissão/proteção futuras isentas","")))</x:f>
        <x:v>Vincendo: VP da parcela financeira; comissão/proteção futuras isentas</x:v>
      </x:c>
    </x:row>
    <x:row r="95">
      <x:c r="A95" s="129" t="n">
        <x:f>IF(ROW()-7&lt;=Contrato!$C$16,ROW()-7,"")</x:f>
        <x:v>88</x:v>
      </x:c>
      <x:c r="B95" s="129" t="n">
        <x:f>IF(A95="","",Contrato!$C$16)</x:f>
        <x:v>209</x:v>
      </x:c>
      <x:c r="C95" s="130" t="n">
        <x:f>IF(A95="","",IF(AB95&lt;&gt;"",AB95,IF(Contrato!$C$14="Mensal",EDATE(Contrato!$C$13,A95-1),Contrato!$C$13+(A95-1)*IF(Contrato!$C$14="Quinzenal",14,IF(Contrato!$C$14="Semanal",7,1)))))</x:f>
        <x:v>46878</x:v>
      </x:c>
      <x:c r="D95" s="131" t="n">
        <x:f>IF(A95="","",W94)</x:f>
        <x:v>7650.81</x:v>
      </x:c>
      <x:c r="E95" s="131" t="n">
        <x:f>IF(A95="","",ROUND(D95*Simulador!$I$18,2))</x:f>
        <x:v>30.15</x:v>
      </x:c>
      <x:c r="F95" s="131" t="n">
        <x:f>IF(A95="","",ROUND(MIN(D95,MAX(G95-E95,0)),2))</x:f>
        <x:v>48.97</x:v>
      </x:c>
      <x:c r="G95" s="131" t="n">
        <x:f>IF(A95="","",IF(A95&lt;Contrato!$C$16,Contrato!$C$27,Contrato!$C$28))</x:f>
        <x:v>79.12</x:v>
      </x:c>
      <x:c r="H95" s="131" t="n">
        <x:f>IF(A95="","",Contrato!$C$29)</x:f>
        <x:v>199.99</x:v>
      </x:c>
      <x:c r="I95" s="131" t="n">
        <x:f>IF(A95="","",Contrato!$C$30)</x:f>
        <x:v>187.5</x:v>
      </x:c>
      <x:c r="J95" s="131" t="n">
        <x:f>IF(A95="","",Contrato!$C$31)</x:f>
        <x:v>0</x:v>
      </x:c>
      <x:c r="K95" s="131" t="n">
        <x:f>IF(A95="","",ROUND(SUM(G95:J95),2))</x:f>
        <x:v>466.61</x:v>
      </x:c>
      <x:c r="L95" s="80"/>
      <x:c r="M95" s="77"/>
      <x:c r="N95" s="29" t="str">
        <x:f>IF(A95="","",IF(L95&gt;=K95,"Paga",IF(L95&gt;0,"Paga parcialmente",IF(C95&lt;$A$5,"Vencida","Prevista"))))</x:f>
        <x:v>Prevista</x:v>
      </x:c>
      <x:c r="O95" s="29" t="n">
        <x:f>IF(A95="","",$A$5-C95)</x:f>
        <x:v>-618</x:v>
      </x:c>
      <x:c r="P95" s="131" t="n">
        <x:f>IF(A95="","",IF(AND(O95&gt;0,MAX(K95-L95,0)&gt;0,N95&lt;&gt;"Paga"),ROUND(MAX(K95-L95,0)*'Parâmetros'!$B$34,2),0))</x:f>
        <x:v>0</x:v>
      </x:c>
      <x:c r="Q95" s="131" t="n">
        <x:f>IF(A95="","",IF(AND(O95&gt;0,MAX(K95-L95,0)&gt;0,N95&lt;&gt;"Paga"),ROUND(MAX(K95-L95,0)*'Parâmetros'!$B$35*(O95/'Parâmetros'!$B$33),2),0))</x:f>
        <x:v>0</x:v>
      </x:c>
      <x:c r="R95" s="131" t="n">
        <x:f>IF(A95="","",IF(O95&gt;0,ROUND(MAX(K95-L95,0)+P95+Q95,2),0))</x:f>
        <x:v>0</x:v>
      </x:c>
      <x:c r="S95" s="131" t="n">
        <x:f>IF(A95="","",IF(OR(N95="Paga",O95&gt;0),0,ROUND(IF(K95=0,0,G95*MAX(K95-L95,0)/K95)/(1+'Parâmetros'!$C$13)^((C95-$A$5)/30),2)))</x:f>
        <x:v>58.22</x:v>
      </x:c>
      <x:c r="T95" s="131" t="n">
        <x:f>IF(A95="","",0)</x:f>
        <x:v>0</x:v>
      </x:c>
      <x:c r="U95" s="131" t="n">
        <x:f>IF(A95="","",0)</x:f>
        <x:v>0</x:v>
      </x:c>
      <x:c r="V95" s="131" t="n">
        <x:f>IF(A95="","",IF(N95="Paga",0,IF(O95&gt;0,R95,S95)))</x:f>
        <x:v>58.22</x:v>
      </x:c>
      <x:c r="W95" s="131" t="n">
        <x:f>IF(A95="","",ROUND(MAX(D95-F95,0),2))</x:f>
        <x:v>7601.84</x:v>
      </x:c>
      <x:c r="X95" s="131" t="n">
        <x:f>IF(A95="","",ROUND(SUM($G95:$G$407),2))</x:f>
        <x:v>9651.44</x:v>
      </x:c>
      <x:c r="Y95" s="131" t="n">
        <x:f>IF(A95="","",ROUND(MAX(X95-D95,0),2))</x:f>
        <x:v>2000.63</x:v>
      </x:c>
      <x:c r="Z95" s="131" t="n">
        <x:f>IF(A95="","",ROUND(SUM($V95:$V$407),2))</x:f>
        <x:v>5799.26</x:v>
      </x:c>
      <x:c r="AA95" s="131" t="n">
        <x:f>IF(A95="","",ROUND(SUM($K95:$K$407)-Z95,2))</x:f>
        <x:v>51125.96</x:v>
      </x:c>
      <x:c r="AB95" s="77"/>
      <x:c r="AC95" s="36" t="str">
        <x:f>IF(A95="","",IF(O95&gt;0,"Vencido: saldo da fatura + mora",IF(O95&lt;=0,"Vincendo: VP da parcela financeira; comissão/proteção futuras isentas","")))</x:f>
        <x:v>Vincendo: VP da parcela financeira; comissão/proteção futuras isentas</x:v>
      </x:c>
    </x:row>
    <x:row r="96">
      <x:c r="A96" s="129" t="n">
        <x:f>IF(ROW()-7&lt;=Contrato!$C$16,ROW()-7,"")</x:f>
        <x:v>89</x:v>
      </x:c>
      <x:c r="B96" s="129" t="n">
        <x:f>IF(A96="","",Contrato!$C$16)</x:f>
        <x:v>209</x:v>
      </x:c>
      <x:c r="C96" s="130" t="n">
        <x:f>IF(A96="","",IF(AB96&lt;&gt;"",AB96,IF(Contrato!$C$14="Mensal",EDATE(Contrato!$C$13,A96-1),Contrato!$C$13+(A96-1)*IF(Contrato!$C$14="Quinzenal",14,IF(Contrato!$C$14="Semanal",7,1)))))</x:f>
        <x:v>46885</x:v>
      </x:c>
      <x:c r="D96" s="131" t="n">
        <x:f>IF(A96="","",W95)</x:f>
        <x:v>7601.84</x:v>
      </x:c>
      <x:c r="E96" s="131" t="n">
        <x:f>IF(A96="","",ROUND(D96*Simulador!$I$18,2))</x:f>
        <x:v>29.96</x:v>
      </x:c>
      <x:c r="F96" s="131" t="n">
        <x:f>IF(A96="","",ROUND(MIN(D96,MAX(G96-E96,0)),2))</x:f>
        <x:v>49.16</x:v>
      </x:c>
      <x:c r="G96" s="131" t="n">
        <x:f>IF(A96="","",IF(A96&lt;Contrato!$C$16,Contrato!$C$27,Contrato!$C$28))</x:f>
        <x:v>79.12</x:v>
      </x:c>
      <x:c r="H96" s="131" t="n">
        <x:f>IF(A96="","",Contrato!$C$29)</x:f>
        <x:v>199.99</x:v>
      </x:c>
      <x:c r="I96" s="131" t="n">
        <x:f>IF(A96="","",Contrato!$C$30)</x:f>
        <x:v>187.5</x:v>
      </x:c>
      <x:c r="J96" s="131" t="n">
        <x:f>IF(A96="","",Contrato!$C$31)</x:f>
        <x:v>0</x:v>
      </x:c>
      <x:c r="K96" s="131" t="n">
        <x:f>IF(A96="","",ROUND(SUM(G96:J96),2))</x:f>
        <x:v>466.61</x:v>
      </x:c>
      <x:c r="L96" s="80"/>
      <x:c r="M96" s="77"/>
      <x:c r="N96" s="29" t="str">
        <x:f>IF(A96="","",IF(L96&gt;=K96,"Paga",IF(L96&gt;0,"Paga parcialmente",IF(C96&lt;$A$5,"Vencida","Prevista"))))</x:f>
        <x:v>Prevista</x:v>
      </x:c>
      <x:c r="O96" s="29" t="n">
        <x:f>IF(A96="","",$A$5-C96)</x:f>
        <x:v>-625</x:v>
      </x:c>
      <x:c r="P96" s="131" t="n">
        <x:f>IF(A96="","",IF(AND(O96&gt;0,MAX(K96-L96,0)&gt;0,N96&lt;&gt;"Paga"),ROUND(MAX(K96-L96,0)*'Parâmetros'!$B$34,2),0))</x:f>
        <x:v>0</x:v>
      </x:c>
      <x:c r="Q96" s="131" t="n">
        <x:f>IF(A96="","",IF(AND(O96&gt;0,MAX(K96-L96,0)&gt;0,N96&lt;&gt;"Paga"),ROUND(MAX(K96-L96,0)*'Parâmetros'!$B$35*(O96/'Parâmetros'!$B$33),2),0))</x:f>
        <x:v>0</x:v>
      </x:c>
      <x:c r="R96" s="131" t="n">
        <x:f>IF(A96="","",IF(O96&gt;0,ROUND(MAX(K96-L96,0)+P96+Q96,2),0))</x:f>
        <x:v>0</x:v>
      </x:c>
      <x:c r="S96" s="131" t="n">
        <x:f>IF(A96="","",IF(OR(N96="Paga",O96&gt;0),0,ROUND(IF(K96=0,0,G96*MAX(K96-L96,0)/K96)/(1+'Parâmetros'!$C$13)^((C96-$A$5)/30),2)))</x:f>
        <x:v>58.02</x:v>
      </x:c>
      <x:c r="T96" s="131" t="n">
        <x:f>IF(A96="","",0)</x:f>
        <x:v>0</x:v>
      </x:c>
      <x:c r="U96" s="131" t="n">
        <x:f>IF(A96="","",0)</x:f>
        <x:v>0</x:v>
      </x:c>
      <x:c r="V96" s="131" t="n">
        <x:f>IF(A96="","",IF(N96="Paga",0,IF(O96&gt;0,R96,S96)))</x:f>
        <x:v>58.02</x:v>
      </x:c>
      <x:c r="W96" s="131" t="n">
        <x:f>IF(A96="","",ROUND(MAX(D96-F96,0),2))</x:f>
        <x:v>7552.68</x:v>
      </x:c>
      <x:c r="X96" s="131" t="n">
        <x:f>IF(A96="","",ROUND(SUM($G96:$G$407),2))</x:f>
        <x:v>9572.32</x:v>
      </x:c>
      <x:c r="Y96" s="131" t="n">
        <x:f>IF(A96="","",ROUND(MAX(X96-D96,0),2))</x:f>
        <x:v>1970.48</x:v>
      </x:c>
      <x:c r="Z96" s="131" t="n">
        <x:f>IF(A96="","",ROUND(SUM($V96:$V$407),2))</x:f>
        <x:v>5741.04</x:v>
      </x:c>
      <x:c r="AA96" s="131" t="n">
        <x:f>IF(A96="","",ROUND(SUM($K96:$K$407)-Z96,2))</x:f>
        <x:v>50717.57</x:v>
      </x:c>
      <x:c r="AB96" s="77"/>
      <x:c r="AC96" s="36" t="str">
        <x:f>IF(A96="","",IF(O96&gt;0,"Vencido: saldo da fatura + mora",IF(O96&lt;=0,"Vincendo: VP da parcela financeira; comissão/proteção futuras isentas","")))</x:f>
        <x:v>Vincendo: VP da parcela financeira; comissão/proteção futuras isentas</x:v>
      </x:c>
    </x:row>
    <x:row r="97">
      <x:c r="A97" s="129" t="n">
        <x:f>IF(ROW()-7&lt;=Contrato!$C$16,ROW()-7,"")</x:f>
        <x:v>90</x:v>
      </x:c>
      <x:c r="B97" s="129" t="n">
        <x:f>IF(A97="","",Contrato!$C$16)</x:f>
        <x:v>209</x:v>
      </x:c>
      <x:c r="C97" s="130" t="n">
        <x:f>IF(A97="","",IF(AB97&lt;&gt;"",AB97,IF(Contrato!$C$14="Mensal",EDATE(Contrato!$C$13,A97-1),Contrato!$C$13+(A97-1)*IF(Contrato!$C$14="Quinzenal",14,IF(Contrato!$C$14="Semanal",7,1)))))</x:f>
        <x:v>46892</x:v>
      </x:c>
      <x:c r="D97" s="131" t="n">
        <x:f>IF(A97="","",W96)</x:f>
        <x:v>7552.68</x:v>
      </x:c>
      <x:c r="E97" s="131" t="n">
        <x:f>IF(A97="","",ROUND(D97*Simulador!$I$18,2))</x:f>
        <x:v>29.77</x:v>
      </x:c>
      <x:c r="F97" s="131" t="n">
        <x:f>IF(A97="","",ROUND(MIN(D97,MAX(G97-E97,0)),2))</x:f>
        <x:v>49.35</x:v>
      </x:c>
      <x:c r="G97" s="131" t="n">
        <x:f>IF(A97="","",IF(A97&lt;Contrato!$C$16,Contrato!$C$27,Contrato!$C$28))</x:f>
        <x:v>79.12</x:v>
      </x:c>
      <x:c r="H97" s="131" t="n">
        <x:f>IF(A97="","",Contrato!$C$29)</x:f>
        <x:v>199.99</x:v>
      </x:c>
      <x:c r="I97" s="131" t="n">
        <x:f>IF(A97="","",Contrato!$C$30)</x:f>
        <x:v>187.5</x:v>
      </x:c>
      <x:c r="J97" s="131" t="n">
        <x:f>IF(A97="","",Contrato!$C$31)</x:f>
        <x:v>0</x:v>
      </x:c>
      <x:c r="K97" s="131" t="n">
        <x:f>IF(A97="","",ROUND(SUM(G97:J97),2))</x:f>
        <x:v>466.61</x:v>
      </x:c>
      <x:c r="L97" s="80"/>
      <x:c r="M97" s="77"/>
      <x:c r="N97" s="29" t="str">
        <x:f>IF(A97="","",IF(L97&gt;=K97,"Paga",IF(L97&gt;0,"Paga parcialmente",IF(C97&lt;$A$5,"Vencida","Prevista"))))</x:f>
        <x:v>Prevista</x:v>
      </x:c>
      <x:c r="O97" s="29" t="n">
        <x:f>IF(A97="","",$A$5-C97)</x:f>
        <x:v>-632</x:v>
      </x:c>
      <x:c r="P97" s="131" t="n">
        <x:f>IF(A97="","",IF(AND(O97&gt;0,MAX(K97-L97,0)&gt;0,N97&lt;&gt;"Paga"),ROUND(MAX(K97-L97,0)*'Parâmetros'!$B$34,2),0))</x:f>
        <x:v>0</x:v>
      </x:c>
      <x:c r="Q97" s="131" t="n">
        <x:f>IF(A97="","",IF(AND(O97&gt;0,MAX(K97-L97,0)&gt;0,N97&lt;&gt;"Paga"),ROUND(MAX(K97-L97,0)*'Parâmetros'!$B$35*(O97/'Parâmetros'!$B$33),2),0))</x:f>
        <x:v>0</x:v>
      </x:c>
      <x:c r="R97" s="131" t="n">
        <x:f>IF(A97="","",IF(O97&gt;0,ROUND(MAX(K97-L97,0)+P97+Q97,2),0))</x:f>
        <x:v>0</x:v>
      </x:c>
      <x:c r="S97" s="131" t="n">
        <x:f>IF(A97="","",IF(OR(N97="Paga",O97&gt;0),0,ROUND(IF(K97=0,0,G97*MAX(K97-L97,0)/K97)/(1+'Parâmetros'!$C$13)^((C97-$A$5)/30),2)))</x:f>
        <x:v>57.82</x:v>
      </x:c>
      <x:c r="T97" s="131" t="n">
        <x:f>IF(A97="","",0)</x:f>
        <x:v>0</x:v>
      </x:c>
      <x:c r="U97" s="131" t="n">
        <x:f>IF(A97="","",0)</x:f>
        <x:v>0</x:v>
      </x:c>
      <x:c r="V97" s="131" t="n">
        <x:f>IF(A97="","",IF(N97="Paga",0,IF(O97&gt;0,R97,S97)))</x:f>
        <x:v>57.82</x:v>
      </x:c>
      <x:c r="W97" s="131" t="n">
        <x:f>IF(A97="","",ROUND(MAX(D97-F97,0),2))</x:f>
        <x:v>7503.33</x:v>
      </x:c>
      <x:c r="X97" s="131" t="n">
        <x:f>IF(A97="","",ROUND(SUM($G97:$G$407),2))</x:f>
        <x:v>9493.2</x:v>
      </x:c>
      <x:c r="Y97" s="131" t="n">
        <x:f>IF(A97="","",ROUND(MAX(X97-D97,0),2))</x:f>
        <x:v>1940.52</x:v>
      </x:c>
      <x:c r="Z97" s="131" t="n">
        <x:f>IF(A97="","",ROUND(SUM($V97:$V$407),2))</x:f>
        <x:v>5683.02</x:v>
      </x:c>
      <x:c r="AA97" s="131" t="n">
        <x:f>IF(A97="","",ROUND(SUM($K97:$K$407)-Z97,2))</x:f>
        <x:v>50308.98</x:v>
      </x:c>
      <x:c r="AB97" s="77"/>
      <x:c r="AC97" s="36" t="str">
        <x:f>IF(A97="","",IF(O97&gt;0,"Vencido: saldo da fatura + mora",IF(O97&lt;=0,"Vincendo: VP da parcela financeira; comissão/proteção futuras isentas","")))</x:f>
        <x:v>Vincendo: VP da parcela financeira; comissão/proteção futuras isentas</x:v>
      </x:c>
    </x:row>
    <x:row r="98">
      <x:c r="A98" s="129" t="n">
        <x:f>IF(ROW()-7&lt;=Contrato!$C$16,ROW()-7,"")</x:f>
        <x:v>91</x:v>
      </x:c>
      <x:c r="B98" s="129" t="n">
        <x:f>IF(A98="","",Contrato!$C$16)</x:f>
        <x:v>209</x:v>
      </x:c>
      <x:c r="C98" s="130" t="n">
        <x:f>IF(A98="","",IF(AB98&lt;&gt;"",AB98,IF(Contrato!$C$14="Mensal",EDATE(Contrato!$C$13,A98-1),Contrato!$C$13+(A98-1)*IF(Contrato!$C$14="Quinzenal",14,IF(Contrato!$C$14="Semanal",7,1)))))</x:f>
        <x:v>46899</x:v>
      </x:c>
      <x:c r="D98" s="131" t="n">
        <x:f>IF(A98="","",W97)</x:f>
        <x:v>7503.33</x:v>
      </x:c>
      <x:c r="E98" s="131" t="n">
        <x:f>IF(A98="","",ROUND(D98*Simulador!$I$18,2))</x:f>
        <x:v>29.57</x:v>
      </x:c>
      <x:c r="F98" s="131" t="n">
        <x:f>IF(A98="","",ROUND(MIN(D98,MAX(G98-E98,0)),2))</x:f>
        <x:v>49.55</x:v>
      </x:c>
      <x:c r="G98" s="131" t="n">
        <x:f>IF(A98="","",IF(A98&lt;Contrato!$C$16,Contrato!$C$27,Contrato!$C$28))</x:f>
        <x:v>79.12</x:v>
      </x:c>
      <x:c r="H98" s="131" t="n">
        <x:f>IF(A98="","",Contrato!$C$29)</x:f>
        <x:v>199.99</x:v>
      </x:c>
      <x:c r="I98" s="131" t="n">
        <x:f>IF(A98="","",Contrato!$C$30)</x:f>
        <x:v>187.5</x:v>
      </x:c>
      <x:c r="J98" s="131" t="n">
        <x:f>IF(A98="","",Contrato!$C$31)</x:f>
        <x:v>0</x:v>
      </x:c>
      <x:c r="K98" s="131" t="n">
        <x:f>IF(A98="","",ROUND(SUM(G98:J98),2))</x:f>
        <x:v>466.61</x:v>
      </x:c>
      <x:c r="L98" s="80"/>
      <x:c r="M98" s="77"/>
      <x:c r="N98" s="29" t="str">
        <x:f>IF(A98="","",IF(L98&gt;=K98,"Paga",IF(L98&gt;0,"Paga parcialmente",IF(C98&lt;$A$5,"Vencida","Prevista"))))</x:f>
        <x:v>Prevista</x:v>
      </x:c>
      <x:c r="O98" s="29" t="n">
        <x:f>IF(A98="","",$A$5-C98)</x:f>
        <x:v>-639</x:v>
      </x:c>
      <x:c r="P98" s="131" t="n">
        <x:f>IF(A98="","",IF(AND(O98&gt;0,MAX(K98-L98,0)&gt;0,N98&lt;&gt;"Paga"),ROUND(MAX(K98-L98,0)*'Parâmetros'!$B$34,2),0))</x:f>
        <x:v>0</x:v>
      </x:c>
      <x:c r="Q98" s="131" t="n">
        <x:f>IF(A98="","",IF(AND(O98&gt;0,MAX(K98-L98,0)&gt;0,N98&lt;&gt;"Paga"),ROUND(MAX(K98-L98,0)*'Parâmetros'!$B$35*(O98/'Parâmetros'!$B$33),2),0))</x:f>
        <x:v>0</x:v>
      </x:c>
      <x:c r="R98" s="131" t="n">
        <x:f>IF(A98="","",IF(O98&gt;0,ROUND(MAX(K98-L98,0)+P98+Q98,2),0))</x:f>
        <x:v>0</x:v>
      </x:c>
      <x:c r="S98" s="131" t="n">
        <x:f>IF(A98="","",IF(OR(N98="Paga",O98&gt;0),0,ROUND(IF(K98=0,0,G98*MAX(K98-L98,0)/K98)/(1+'Parâmetros'!$C$13)^((C98-$A$5)/30),2)))</x:f>
        <x:v>57.62</x:v>
      </x:c>
      <x:c r="T98" s="131" t="n">
        <x:f>IF(A98="","",0)</x:f>
        <x:v>0</x:v>
      </x:c>
      <x:c r="U98" s="131" t="n">
        <x:f>IF(A98="","",0)</x:f>
        <x:v>0</x:v>
      </x:c>
      <x:c r="V98" s="131" t="n">
        <x:f>IF(A98="","",IF(N98="Paga",0,IF(O98&gt;0,R98,S98)))</x:f>
        <x:v>57.62</x:v>
      </x:c>
      <x:c r="W98" s="131" t="n">
        <x:f>IF(A98="","",ROUND(MAX(D98-F98,0),2))</x:f>
        <x:v>7453.78</x:v>
      </x:c>
      <x:c r="X98" s="131" t="n">
        <x:f>IF(A98="","",ROUND(SUM($G98:$G$407),2))</x:f>
        <x:v>9414.08</x:v>
      </x:c>
      <x:c r="Y98" s="131" t="n">
        <x:f>IF(A98="","",ROUND(MAX(X98-D98,0),2))</x:f>
        <x:v>1910.75</x:v>
      </x:c>
      <x:c r="Z98" s="131" t="n">
        <x:f>IF(A98="","",ROUND(SUM($V98:$V$407),2))</x:f>
        <x:v>5625.2</x:v>
      </x:c>
      <x:c r="AA98" s="131" t="n">
        <x:f>IF(A98="","",ROUND(SUM($K98:$K$407)-Z98,2))</x:f>
        <x:v>49900.19</x:v>
      </x:c>
      <x:c r="AB98" s="77"/>
      <x:c r="AC98" s="36" t="str">
        <x:f>IF(A98="","",IF(O98&gt;0,"Vencido: saldo da fatura + mora",IF(O98&lt;=0,"Vincendo: VP da parcela financeira; comissão/proteção futuras isentas","")))</x:f>
        <x:v>Vincendo: VP da parcela financeira; comissão/proteção futuras isentas</x:v>
      </x:c>
    </x:row>
    <x:row r="99">
      <x:c r="A99" s="129" t="n">
        <x:f>IF(ROW()-7&lt;=Contrato!$C$16,ROW()-7,"")</x:f>
        <x:v>92</x:v>
      </x:c>
      <x:c r="B99" s="129" t="n">
        <x:f>IF(A99="","",Contrato!$C$16)</x:f>
        <x:v>209</x:v>
      </x:c>
      <x:c r="C99" s="130" t="n">
        <x:f>IF(A99="","",IF(AB99&lt;&gt;"",AB99,IF(Contrato!$C$14="Mensal",EDATE(Contrato!$C$13,A99-1),Contrato!$C$13+(A99-1)*IF(Contrato!$C$14="Quinzenal",14,IF(Contrato!$C$14="Semanal",7,1)))))</x:f>
        <x:v>46906</x:v>
      </x:c>
      <x:c r="D99" s="131" t="n">
        <x:f>IF(A99="","",W98)</x:f>
        <x:v>7453.78</x:v>
      </x:c>
      <x:c r="E99" s="131" t="n">
        <x:f>IF(A99="","",ROUND(D99*Simulador!$I$18,2))</x:f>
        <x:v>29.38</x:v>
      </x:c>
      <x:c r="F99" s="131" t="n">
        <x:f>IF(A99="","",ROUND(MIN(D99,MAX(G99-E99,0)),2))</x:f>
        <x:v>49.74</x:v>
      </x:c>
      <x:c r="G99" s="131" t="n">
        <x:f>IF(A99="","",IF(A99&lt;Contrato!$C$16,Contrato!$C$27,Contrato!$C$28))</x:f>
        <x:v>79.12</x:v>
      </x:c>
      <x:c r="H99" s="131" t="n">
        <x:f>IF(A99="","",Contrato!$C$29)</x:f>
        <x:v>199.99</x:v>
      </x:c>
      <x:c r="I99" s="131" t="n">
        <x:f>IF(A99="","",Contrato!$C$30)</x:f>
        <x:v>187.5</x:v>
      </x:c>
      <x:c r="J99" s="131" t="n">
        <x:f>IF(A99="","",Contrato!$C$31)</x:f>
        <x:v>0</x:v>
      </x:c>
      <x:c r="K99" s="131" t="n">
        <x:f>IF(A99="","",ROUND(SUM(G99:J99),2))</x:f>
        <x:v>466.61</x:v>
      </x:c>
      <x:c r="L99" s="80"/>
      <x:c r="M99" s="77"/>
      <x:c r="N99" s="29" t="str">
        <x:f>IF(A99="","",IF(L99&gt;=K99,"Paga",IF(L99&gt;0,"Paga parcialmente",IF(C99&lt;$A$5,"Vencida","Prevista"))))</x:f>
        <x:v>Prevista</x:v>
      </x:c>
      <x:c r="O99" s="29" t="n">
        <x:f>IF(A99="","",$A$5-C99)</x:f>
        <x:v>-646</x:v>
      </x:c>
      <x:c r="P99" s="131" t="n">
        <x:f>IF(A99="","",IF(AND(O99&gt;0,MAX(K99-L99,0)&gt;0,N99&lt;&gt;"Paga"),ROUND(MAX(K99-L99,0)*'Parâmetros'!$B$34,2),0))</x:f>
        <x:v>0</x:v>
      </x:c>
      <x:c r="Q99" s="131" t="n">
        <x:f>IF(A99="","",IF(AND(O99&gt;0,MAX(K99-L99,0)&gt;0,N99&lt;&gt;"Paga"),ROUND(MAX(K99-L99,0)*'Parâmetros'!$B$35*(O99/'Parâmetros'!$B$33),2),0))</x:f>
        <x:v>0</x:v>
      </x:c>
      <x:c r="R99" s="131" t="n">
        <x:f>IF(A99="","",IF(O99&gt;0,ROUND(MAX(K99-L99,0)+P99+Q99,2),0))</x:f>
        <x:v>0</x:v>
      </x:c>
      <x:c r="S99" s="131" t="n">
        <x:f>IF(A99="","",IF(OR(N99="Paga",O99&gt;0),0,ROUND(IF(K99=0,0,G99*MAX(K99-L99,0)/K99)/(1+'Parâmetros'!$C$13)^((C99-$A$5)/30),2)))</x:f>
        <x:v>57.42</x:v>
      </x:c>
      <x:c r="T99" s="131" t="n">
        <x:f>IF(A99="","",0)</x:f>
        <x:v>0</x:v>
      </x:c>
      <x:c r="U99" s="131" t="n">
        <x:f>IF(A99="","",0)</x:f>
        <x:v>0</x:v>
      </x:c>
      <x:c r="V99" s="131" t="n">
        <x:f>IF(A99="","",IF(N99="Paga",0,IF(O99&gt;0,R99,S99)))</x:f>
        <x:v>57.42</x:v>
      </x:c>
      <x:c r="W99" s="131" t="n">
        <x:f>IF(A99="","",ROUND(MAX(D99-F99,0),2))</x:f>
        <x:v>7404.04</x:v>
      </x:c>
      <x:c r="X99" s="131" t="n">
        <x:f>IF(A99="","",ROUND(SUM($G99:$G$407),2))</x:f>
        <x:v>9334.96</x:v>
      </x:c>
      <x:c r="Y99" s="131" t="n">
        <x:f>IF(A99="","",ROUND(MAX(X99-D99,0),2))</x:f>
        <x:v>1881.18</x:v>
      </x:c>
      <x:c r="Z99" s="131" t="n">
        <x:f>IF(A99="","",ROUND(SUM($V99:$V$407),2))</x:f>
        <x:v>5567.58</x:v>
      </x:c>
      <x:c r="AA99" s="131" t="n">
        <x:f>IF(A99="","",ROUND(SUM($K99:$K$407)-Z99,2))</x:f>
        <x:v>49491.2</x:v>
      </x:c>
      <x:c r="AB99" s="77"/>
      <x:c r="AC99" s="36" t="str">
        <x:f>IF(A99="","",IF(O99&gt;0,"Vencido: saldo da fatura + mora",IF(O99&lt;=0,"Vincendo: VP da parcela financeira; comissão/proteção futuras isentas","")))</x:f>
        <x:v>Vincendo: VP da parcela financeira; comissão/proteção futuras isentas</x:v>
      </x:c>
    </x:row>
    <x:row r="100">
      <x:c r="A100" s="129" t="n">
        <x:f>IF(ROW()-7&lt;=Contrato!$C$16,ROW()-7,"")</x:f>
        <x:v>93</x:v>
      </x:c>
      <x:c r="B100" s="129" t="n">
        <x:f>IF(A100="","",Contrato!$C$16)</x:f>
        <x:v>209</x:v>
      </x:c>
      <x:c r="C100" s="130" t="n">
        <x:f>IF(A100="","",IF(AB100&lt;&gt;"",AB100,IF(Contrato!$C$14="Mensal",EDATE(Contrato!$C$13,A100-1),Contrato!$C$13+(A100-1)*IF(Contrato!$C$14="Quinzenal",14,IF(Contrato!$C$14="Semanal",7,1)))))</x:f>
        <x:v>46913</x:v>
      </x:c>
      <x:c r="D100" s="131" t="n">
        <x:f>IF(A100="","",W99)</x:f>
        <x:v>7404.04</x:v>
      </x:c>
      <x:c r="E100" s="131" t="n">
        <x:f>IF(A100="","",ROUND(D100*Simulador!$I$18,2))</x:f>
        <x:v>29.18</x:v>
      </x:c>
      <x:c r="F100" s="131" t="n">
        <x:f>IF(A100="","",ROUND(MIN(D100,MAX(G100-E100,0)),2))</x:f>
        <x:v>49.94</x:v>
      </x:c>
      <x:c r="G100" s="131" t="n">
        <x:f>IF(A100="","",IF(A100&lt;Contrato!$C$16,Contrato!$C$27,Contrato!$C$28))</x:f>
        <x:v>79.12</x:v>
      </x:c>
      <x:c r="H100" s="131" t="n">
        <x:f>IF(A100="","",Contrato!$C$29)</x:f>
        <x:v>199.99</x:v>
      </x:c>
      <x:c r="I100" s="131" t="n">
        <x:f>IF(A100="","",Contrato!$C$30)</x:f>
        <x:v>187.5</x:v>
      </x:c>
      <x:c r="J100" s="131" t="n">
        <x:f>IF(A100="","",Contrato!$C$31)</x:f>
        <x:v>0</x:v>
      </x:c>
      <x:c r="K100" s="131" t="n">
        <x:f>IF(A100="","",ROUND(SUM(G100:J100),2))</x:f>
        <x:v>466.61</x:v>
      </x:c>
      <x:c r="L100" s="80"/>
      <x:c r="M100" s="77"/>
      <x:c r="N100" s="29" t="str">
        <x:f>IF(A100="","",IF(L100&gt;=K100,"Paga",IF(L100&gt;0,"Paga parcialmente",IF(C100&lt;$A$5,"Vencida","Prevista"))))</x:f>
        <x:v>Prevista</x:v>
      </x:c>
      <x:c r="O100" s="29" t="n">
        <x:f>IF(A100="","",$A$5-C100)</x:f>
        <x:v>-653</x:v>
      </x:c>
      <x:c r="P100" s="131" t="n">
        <x:f>IF(A100="","",IF(AND(O100&gt;0,MAX(K100-L100,0)&gt;0,N100&lt;&gt;"Paga"),ROUND(MAX(K100-L100,0)*'Parâmetros'!$B$34,2),0))</x:f>
        <x:v>0</x:v>
      </x:c>
      <x:c r="Q100" s="131" t="n">
        <x:f>IF(A100="","",IF(AND(O100&gt;0,MAX(K100-L100,0)&gt;0,N100&lt;&gt;"Paga"),ROUND(MAX(K100-L100,0)*'Parâmetros'!$B$35*(O100/'Parâmetros'!$B$33),2),0))</x:f>
        <x:v>0</x:v>
      </x:c>
      <x:c r="R100" s="131" t="n">
        <x:f>IF(A100="","",IF(O100&gt;0,ROUND(MAX(K100-L100,0)+P100+Q100,2),0))</x:f>
        <x:v>0</x:v>
      </x:c>
      <x:c r="S100" s="131" t="n">
        <x:f>IF(A100="","",IF(OR(N100="Paga",O100&gt;0),0,ROUND(IF(K100=0,0,G100*MAX(K100-L100,0)/K100)/(1+'Parâmetros'!$C$13)^((C100-$A$5)/30),2)))</x:f>
        <x:v>57.22</x:v>
      </x:c>
      <x:c r="T100" s="131" t="n">
        <x:f>IF(A100="","",0)</x:f>
        <x:v>0</x:v>
      </x:c>
      <x:c r="U100" s="131" t="n">
        <x:f>IF(A100="","",0)</x:f>
        <x:v>0</x:v>
      </x:c>
      <x:c r="V100" s="131" t="n">
        <x:f>IF(A100="","",IF(N100="Paga",0,IF(O100&gt;0,R100,S100)))</x:f>
        <x:v>57.22</x:v>
      </x:c>
      <x:c r="W100" s="131" t="n">
        <x:f>IF(A100="","",ROUND(MAX(D100-F100,0),2))</x:f>
        <x:v>7354.1</x:v>
      </x:c>
      <x:c r="X100" s="131" t="n">
        <x:f>IF(A100="","",ROUND(SUM($G100:$G$407),2))</x:f>
        <x:v>9255.84</x:v>
      </x:c>
      <x:c r="Y100" s="131" t="n">
        <x:f>IF(A100="","",ROUND(MAX(X100-D100,0),2))</x:f>
        <x:v>1851.8</x:v>
      </x:c>
      <x:c r="Z100" s="131" t="n">
        <x:f>IF(A100="","",ROUND(SUM($V100:$V$407),2))</x:f>
        <x:v>5510.16</x:v>
      </x:c>
      <x:c r="AA100" s="131" t="n">
        <x:f>IF(A100="","",ROUND(SUM($K100:$K$407)-Z100,2))</x:f>
        <x:v>49082.01</x:v>
      </x:c>
      <x:c r="AB100" s="77"/>
      <x:c r="AC100" s="36" t="str">
        <x:f>IF(A100="","",IF(O100&gt;0,"Vencido: saldo da fatura + mora",IF(O100&lt;=0,"Vincendo: VP da parcela financeira; comissão/proteção futuras isentas","")))</x:f>
        <x:v>Vincendo: VP da parcela financeira; comissão/proteção futuras isentas</x:v>
      </x:c>
    </x:row>
    <x:row r="101">
      <x:c r="A101" s="129" t="n">
        <x:f>IF(ROW()-7&lt;=Contrato!$C$16,ROW()-7,"")</x:f>
        <x:v>94</x:v>
      </x:c>
      <x:c r="B101" s="129" t="n">
        <x:f>IF(A101="","",Contrato!$C$16)</x:f>
        <x:v>209</x:v>
      </x:c>
      <x:c r="C101" s="130" t="n">
        <x:f>IF(A101="","",IF(AB101&lt;&gt;"",AB101,IF(Contrato!$C$14="Mensal",EDATE(Contrato!$C$13,A101-1),Contrato!$C$13+(A101-1)*IF(Contrato!$C$14="Quinzenal",14,IF(Contrato!$C$14="Semanal",7,1)))))</x:f>
        <x:v>46920</x:v>
      </x:c>
      <x:c r="D101" s="131" t="n">
        <x:f>IF(A101="","",W100)</x:f>
        <x:v>7354.1</x:v>
      </x:c>
      <x:c r="E101" s="131" t="n">
        <x:f>IF(A101="","",ROUND(D101*Simulador!$I$18,2))</x:f>
        <x:v>28.98</x:v>
      </x:c>
      <x:c r="F101" s="131" t="n">
        <x:f>IF(A101="","",ROUND(MIN(D101,MAX(G101-E101,0)),2))</x:f>
        <x:v>50.14</x:v>
      </x:c>
      <x:c r="G101" s="131" t="n">
        <x:f>IF(A101="","",IF(A101&lt;Contrato!$C$16,Contrato!$C$27,Contrato!$C$28))</x:f>
        <x:v>79.12</x:v>
      </x:c>
      <x:c r="H101" s="131" t="n">
        <x:f>IF(A101="","",Contrato!$C$29)</x:f>
        <x:v>199.99</x:v>
      </x:c>
      <x:c r="I101" s="131" t="n">
        <x:f>IF(A101="","",Contrato!$C$30)</x:f>
        <x:v>187.5</x:v>
      </x:c>
      <x:c r="J101" s="131" t="n">
        <x:f>IF(A101="","",Contrato!$C$31)</x:f>
        <x:v>0</x:v>
      </x:c>
      <x:c r="K101" s="131" t="n">
        <x:f>IF(A101="","",ROUND(SUM(G101:J101),2))</x:f>
        <x:v>466.61</x:v>
      </x:c>
      <x:c r="L101" s="80"/>
      <x:c r="M101" s="77"/>
      <x:c r="N101" s="29" t="str">
        <x:f>IF(A101="","",IF(L101&gt;=K101,"Paga",IF(L101&gt;0,"Paga parcialmente",IF(C101&lt;$A$5,"Vencida","Prevista"))))</x:f>
        <x:v>Prevista</x:v>
      </x:c>
      <x:c r="O101" s="29" t="n">
        <x:f>IF(A101="","",$A$5-C101)</x:f>
        <x:v>-660</x:v>
      </x:c>
      <x:c r="P101" s="131" t="n">
        <x:f>IF(A101="","",IF(AND(O101&gt;0,MAX(K101-L101,0)&gt;0,N101&lt;&gt;"Paga"),ROUND(MAX(K101-L101,0)*'Parâmetros'!$B$34,2),0))</x:f>
        <x:v>0</x:v>
      </x:c>
      <x:c r="Q101" s="131" t="n">
        <x:f>IF(A101="","",IF(AND(O101&gt;0,MAX(K101-L101,0)&gt;0,N101&lt;&gt;"Paga"),ROUND(MAX(K101-L101,0)*'Parâmetros'!$B$35*(O101/'Parâmetros'!$B$33),2),0))</x:f>
        <x:v>0</x:v>
      </x:c>
      <x:c r="R101" s="131" t="n">
        <x:f>IF(A101="","",IF(O101&gt;0,ROUND(MAX(K101-L101,0)+P101+Q101,2),0))</x:f>
        <x:v>0</x:v>
      </x:c>
      <x:c r="S101" s="131" t="n">
        <x:f>IF(A101="","",IF(OR(N101="Paga",O101&gt;0),0,ROUND(IF(K101=0,0,G101*MAX(K101-L101,0)/K101)/(1+'Parâmetros'!$C$13)^((C101-$A$5)/30),2)))</x:f>
        <x:v>57.02</x:v>
      </x:c>
      <x:c r="T101" s="131" t="n">
        <x:f>IF(A101="","",0)</x:f>
        <x:v>0</x:v>
      </x:c>
      <x:c r="U101" s="131" t="n">
        <x:f>IF(A101="","",0)</x:f>
        <x:v>0</x:v>
      </x:c>
      <x:c r="V101" s="131" t="n">
        <x:f>IF(A101="","",IF(N101="Paga",0,IF(O101&gt;0,R101,S101)))</x:f>
        <x:v>57.02</x:v>
      </x:c>
      <x:c r="W101" s="131" t="n">
        <x:f>IF(A101="","",ROUND(MAX(D101-F101,0),2))</x:f>
        <x:v>7303.96</x:v>
      </x:c>
      <x:c r="X101" s="131" t="n">
        <x:f>IF(A101="","",ROUND(SUM($G101:$G$407),2))</x:f>
        <x:v>9176.72</x:v>
      </x:c>
      <x:c r="Y101" s="131" t="n">
        <x:f>IF(A101="","",ROUND(MAX(X101-D101,0),2))</x:f>
        <x:v>1822.62</x:v>
      </x:c>
      <x:c r="Z101" s="131" t="n">
        <x:f>IF(A101="","",ROUND(SUM($V101:$V$407),2))</x:f>
        <x:v>5452.94</x:v>
      </x:c>
      <x:c r="AA101" s="131" t="n">
        <x:f>IF(A101="","",ROUND(SUM($K101:$K$407)-Z101,2))</x:f>
        <x:v>48672.62</x:v>
      </x:c>
      <x:c r="AB101" s="77"/>
      <x:c r="AC101" s="36" t="str">
        <x:f>IF(A101="","",IF(O101&gt;0,"Vencido: saldo da fatura + mora",IF(O101&lt;=0,"Vincendo: VP da parcela financeira; comissão/proteção futuras isentas","")))</x:f>
        <x:v>Vincendo: VP da parcela financeira; comissão/proteção futuras isentas</x:v>
      </x:c>
    </x:row>
    <x:row r="102">
      <x:c r="A102" s="129" t="n">
        <x:f>IF(ROW()-7&lt;=Contrato!$C$16,ROW()-7,"")</x:f>
        <x:v>95</x:v>
      </x:c>
      <x:c r="B102" s="129" t="n">
        <x:f>IF(A102="","",Contrato!$C$16)</x:f>
        <x:v>209</x:v>
      </x:c>
      <x:c r="C102" s="130" t="n">
        <x:f>IF(A102="","",IF(AB102&lt;&gt;"",AB102,IF(Contrato!$C$14="Mensal",EDATE(Contrato!$C$13,A102-1),Contrato!$C$13+(A102-1)*IF(Contrato!$C$14="Quinzenal",14,IF(Contrato!$C$14="Semanal",7,1)))))</x:f>
        <x:v>46927</x:v>
      </x:c>
      <x:c r="D102" s="131" t="n">
        <x:f>IF(A102="","",W101)</x:f>
        <x:v>7303.96</x:v>
      </x:c>
      <x:c r="E102" s="131" t="n">
        <x:f>IF(A102="","",ROUND(D102*Simulador!$I$18,2))</x:f>
        <x:v>28.79</x:v>
      </x:c>
      <x:c r="F102" s="131" t="n">
        <x:f>IF(A102="","",ROUND(MIN(D102,MAX(G102-E102,0)),2))</x:f>
        <x:v>50.33</x:v>
      </x:c>
      <x:c r="G102" s="131" t="n">
        <x:f>IF(A102="","",IF(A102&lt;Contrato!$C$16,Contrato!$C$27,Contrato!$C$28))</x:f>
        <x:v>79.12</x:v>
      </x:c>
      <x:c r="H102" s="131" t="n">
        <x:f>IF(A102="","",Contrato!$C$29)</x:f>
        <x:v>199.99</x:v>
      </x:c>
      <x:c r="I102" s="131" t="n">
        <x:f>IF(A102="","",Contrato!$C$30)</x:f>
        <x:v>187.5</x:v>
      </x:c>
      <x:c r="J102" s="131" t="n">
        <x:f>IF(A102="","",Contrato!$C$31)</x:f>
        <x:v>0</x:v>
      </x:c>
      <x:c r="K102" s="131" t="n">
        <x:f>IF(A102="","",ROUND(SUM(G102:J102),2))</x:f>
        <x:v>466.61</x:v>
      </x:c>
      <x:c r="L102" s="80"/>
      <x:c r="M102" s="77"/>
      <x:c r="N102" s="29" t="str">
        <x:f>IF(A102="","",IF(L102&gt;=K102,"Paga",IF(L102&gt;0,"Paga parcialmente",IF(C102&lt;$A$5,"Vencida","Prevista"))))</x:f>
        <x:v>Prevista</x:v>
      </x:c>
      <x:c r="O102" s="29" t="n">
        <x:f>IF(A102="","",$A$5-C102)</x:f>
        <x:v>-667</x:v>
      </x:c>
      <x:c r="P102" s="131" t="n">
        <x:f>IF(A102="","",IF(AND(O102&gt;0,MAX(K102-L102,0)&gt;0,N102&lt;&gt;"Paga"),ROUND(MAX(K102-L102,0)*'Parâmetros'!$B$34,2),0))</x:f>
        <x:v>0</x:v>
      </x:c>
      <x:c r="Q102" s="131" t="n">
        <x:f>IF(A102="","",IF(AND(O102&gt;0,MAX(K102-L102,0)&gt;0,N102&lt;&gt;"Paga"),ROUND(MAX(K102-L102,0)*'Parâmetros'!$B$35*(O102/'Parâmetros'!$B$33),2),0))</x:f>
        <x:v>0</x:v>
      </x:c>
      <x:c r="R102" s="131" t="n">
        <x:f>IF(A102="","",IF(O102&gt;0,ROUND(MAX(K102-L102,0)+P102+Q102,2),0))</x:f>
        <x:v>0</x:v>
      </x:c>
      <x:c r="S102" s="131" t="n">
        <x:f>IF(A102="","",IF(OR(N102="Paga",O102&gt;0),0,ROUND(IF(K102=0,0,G102*MAX(K102-L102,0)/K102)/(1+'Parâmetros'!$C$13)^((C102-$A$5)/30),2)))</x:f>
        <x:v>56.82</x:v>
      </x:c>
      <x:c r="T102" s="131" t="n">
        <x:f>IF(A102="","",0)</x:f>
        <x:v>0</x:v>
      </x:c>
      <x:c r="U102" s="131" t="n">
        <x:f>IF(A102="","",0)</x:f>
        <x:v>0</x:v>
      </x:c>
      <x:c r="V102" s="131" t="n">
        <x:f>IF(A102="","",IF(N102="Paga",0,IF(O102&gt;0,R102,S102)))</x:f>
        <x:v>56.82</x:v>
      </x:c>
      <x:c r="W102" s="131" t="n">
        <x:f>IF(A102="","",ROUND(MAX(D102-F102,0),2))</x:f>
        <x:v>7253.63</x:v>
      </x:c>
      <x:c r="X102" s="131" t="n">
        <x:f>IF(A102="","",ROUND(SUM($G102:$G$407),2))</x:f>
        <x:v>9097.6</x:v>
      </x:c>
      <x:c r="Y102" s="131" t="n">
        <x:f>IF(A102="","",ROUND(MAX(X102-D102,0),2))</x:f>
        <x:v>1793.64</x:v>
      </x:c>
      <x:c r="Z102" s="131" t="n">
        <x:f>IF(A102="","",ROUND(SUM($V102:$V$407),2))</x:f>
        <x:v>5395.92</x:v>
      </x:c>
      <x:c r="AA102" s="131" t="n">
        <x:f>IF(A102="","",ROUND(SUM($K102:$K$407)-Z102,2))</x:f>
        <x:v>48263.03</x:v>
      </x:c>
      <x:c r="AB102" s="77"/>
      <x:c r="AC102" s="36" t="str">
        <x:f>IF(A102="","",IF(O102&gt;0,"Vencido: saldo da fatura + mora",IF(O102&lt;=0,"Vincendo: VP da parcela financeira; comissão/proteção futuras isentas","")))</x:f>
        <x:v>Vincendo: VP da parcela financeira; comissão/proteção futuras isentas</x:v>
      </x:c>
    </x:row>
    <x:row r="103">
      <x:c r="A103" s="129" t="n">
        <x:f>IF(ROW()-7&lt;=Contrato!$C$16,ROW()-7,"")</x:f>
        <x:v>96</x:v>
      </x:c>
      <x:c r="B103" s="129" t="n">
        <x:f>IF(A103="","",Contrato!$C$16)</x:f>
        <x:v>209</x:v>
      </x:c>
      <x:c r="C103" s="130" t="n">
        <x:f>IF(A103="","",IF(AB103&lt;&gt;"",AB103,IF(Contrato!$C$14="Mensal",EDATE(Contrato!$C$13,A103-1),Contrato!$C$13+(A103-1)*IF(Contrato!$C$14="Quinzenal",14,IF(Contrato!$C$14="Semanal",7,1)))))</x:f>
        <x:v>46934</x:v>
      </x:c>
      <x:c r="D103" s="131" t="n">
        <x:f>IF(A103="","",W102)</x:f>
        <x:v>7253.63</x:v>
      </x:c>
      <x:c r="E103" s="131" t="n">
        <x:f>IF(A103="","",ROUND(D103*Simulador!$I$18,2))</x:f>
        <x:v>28.59</x:v>
      </x:c>
      <x:c r="F103" s="131" t="n">
        <x:f>IF(A103="","",ROUND(MIN(D103,MAX(G103-E103,0)),2))</x:f>
        <x:v>50.53</x:v>
      </x:c>
      <x:c r="G103" s="131" t="n">
        <x:f>IF(A103="","",IF(A103&lt;Contrato!$C$16,Contrato!$C$27,Contrato!$C$28))</x:f>
        <x:v>79.12</x:v>
      </x:c>
      <x:c r="H103" s="131" t="n">
        <x:f>IF(A103="","",Contrato!$C$29)</x:f>
        <x:v>199.99</x:v>
      </x:c>
      <x:c r="I103" s="131" t="n">
        <x:f>IF(A103="","",Contrato!$C$30)</x:f>
        <x:v>187.5</x:v>
      </x:c>
      <x:c r="J103" s="131" t="n">
        <x:f>IF(A103="","",Contrato!$C$31)</x:f>
        <x:v>0</x:v>
      </x:c>
      <x:c r="K103" s="131" t="n">
        <x:f>IF(A103="","",ROUND(SUM(G103:J103),2))</x:f>
        <x:v>466.61</x:v>
      </x:c>
      <x:c r="L103" s="80"/>
      <x:c r="M103" s="77"/>
      <x:c r="N103" s="29" t="str">
        <x:f>IF(A103="","",IF(L103&gt;=K103,"Paga",IF(L103&gt;0,"Paga parcialmente",IF(C103&lt;$A$5,"Vencida","Prevista"))))</x:f>
        <x:v>Prevista</x:v>
      </x:c>
      <x:c r="O103" s="29" t="n">
        <x:f>IF(A103="","",$A$5-C103)</x:f>
        <x:v>-674</x:v>
      </x:c>
      <x:c r="P103" s="131" t="n">
        <x:f>IF(A103="","",IF(AND(O103&gt;0,MAX(K103-L103,0)&gt;0,N103&lt;&gt;"Paga"),ROUND(MAX(K103-L103,0)*'Parâmetros'!$B$34,2),0))</x:f>
        <x:v>0</x:v>
      </x:c>
      <x:c r="Q103" s="131" t="n">
        <x:f>IF(A103="","",IF(AND(O103&gt;0,MAX(K103-L103,0)&gt;0,N103&lt;&gt;"Paga"),ROUND(MAX(K103-L103,0)*'Parâmetros'!$B$35*(O103/'Parâmetros'!$B$33),2),0))</x:f>
        <x:v>0</x:v>
      </x:c>
      <x:c r="R103" s="131" t="n">
        <x:f>IF(A103="","",IF(O103&gt;0,ROUND(MAX(K103-L103,0)+P103+Q103,2),0))</x:f>
        <x:v>0</x:v>
      </x:c>
      <x:c r="S103" s="131" t="n">
        <x:f>IF(A103="","",IF(OR(N103="Paga",O103&gt;0),0,ROUND(IF(K103=0,0,G103*MAX(K103-L103,0)/K103)/(1+'Parâmetros'!$C$13)^((C103-$A$5)/30),2)))</x:f>
        <x:v>56.63</x:v>
      </x:c>
      <x:c r="T103" s="131" t="n">
        <x:f>IF(A103="","",0)</x:f>
        <x:v>0</x:v>
      </x:c>
      <x:c r="U103" s="131" t="n">
        <x:f>IF(A103="","",0)</x:f>
        <x:v>0</x:v>
      </x:c>
      <x:c r="V103" s="131" t="n">
        <x:f>IF(A103="","",IF(N103="Paga",0,IF(O103&gt;0,R103,S103)))</x:f>
        <x:v>56.63</x:v>
      </x:c>
      <x:c r="W103" s="131" t="n">
        <x:f>IF(A103="","",ROUND(MAX(D103-F103,0),2))</x:f>
        <x:v>7203.1</x:v>
      </x:c>
      <x:c r="X103" s="131" t="n">
        <x:f>IF(A103="","",ROUND(SUM($G103:$G$407),2))</x:f>
        <x:v>9018.48</x:v>
      </x:c>
      <x:c r="Y103" s="131" t="n">
        <x:f>IF(A103="","",ROUND(MAX(X103-D103,0),2))</x:f>
        <x:v>1764.85</x:v>
      </x:c>
      <x:c r="Z103" s="131" t="n">
        <x:f>IF(A103="","",ROUND(SUM($V103:$V$407),2))</x:f>
        <x:v>5339.1</x:v>
      </x:c>
      <x:c r="AA103" s="131" t="n">
        <x:f>IF(A103="","",ROUND(SUM($K103:$K$407)-Z103,2))</x:f>
        <x:v>47853.24</x:v>
      </x:c>
      <x:c r="AB103" s="77"/>
      <x:c r="AC103" s="36" t="str">
        <x:f>IF(A103="","",IF(O103&gt;0,"Vencido: saldo da fatura + mora",IF(O103&lt;=0,"Vincendo: VP da parcela financeira; comissão/proteção futuras isentas","")))</x:f>
        <x:v>Vincendo: VP da parcela financeira; comissão/proteção futuras isentas</x:v>
      </x:c>
    </x:row>
    <x:row r="104">
      <x:c r="A104" s="129" t="n">
        <x:f>IF(ROW()-7&lt;=Contrato!$C$16,ROW()-7,"")</x:f>
        <x:v>97</x:v>
      </x:c>
      <x:c r="B104" s="129" t="n">
        <x:f>IF(A104="","",Contrato!$C$16)</x:f>
        <x:v>209</x:v>
      </x:c>
      <x:c r="C104" s="130" t="n">
        <x:f>IF(A104="","",IF(AB104&lt;&gt;"",AB104,IF(Contrato!$C$14="Mensal",EDATE(Contrato!$C$13,A104-1),Contrato!$C$13+(A104-1)*IF(Contrato!$C$14="Quinzenal",14,IF(Contrato!$C$14="Semanal",7,1)))))</x:f>
        <x:v>46941</x:v>
      </x:c>
      <x:c r="D104" s="131" t="n">
        <x:f>IF(A104="","",W103)</x:f>
        <x:v>7203.1</x:v>
      </x:c>
      <x:c r="E104" s="131" t="n">
        <x:f>IF(A104="","",ROUND(D104*Simulador!$I$18,2))</x:f>
        <x:v>28.39</x:v>
      </x:c>
      <x:c r="F104" s="131" t="n">
        <x:f>IF(A104="","",ROUND(MIN(D104,MAX(G104-E104,0)),2))</x:f>
        <x:v>50.73</x:v>
      </x:c>
      <x:c r="G104" s="131" t="n">
        <x:f>IF(A104="","",IF(A104&lt;Contrato!$C$16,Contrato!$C$27,Contrato!$C$28))</x:f>
        <x:v>79.12</x:v>
      </x:c>
      <x:c r="H104" s="131" t="n">
        <x:f>IF(A104="","",Contrato!$C$29)</x:f>
        <x:v>199.99</x:v>
      </x:c>
      <x:c r="I104" s="131" t="n">
        <x:f>IF(A104="","",Contrato!$C$30)</x:f>
        <x:v>187.5</x:v>
      </x:c>
      <x:c r="J104" s="131" t="n">
        <x:f>IF(A104="","",Contrato!$C$31)</x:f>
        <x:v>0</x:v>
      </x:c>
      <x:c r="K104" s="131" t="n">
        <x:f>IF(A104="","",ROUND(SUM(G104:J104),2))</x:f>
        <x:v>466.61</x:v>
      </x:c>
      <x:c r="L104" s="80"/>
      <x:c r="M104" s="77"/>
      <x:c r="N104" s="29" t="str">
        <x:f>IF(A104="","",IF(L104&gt;=K104,"Paga",IF(L104&gt;0,"Paga parcialmente",IF(C104&lt;$A$5,"Vencida","Prevista"))))</x:f>
        <x:v>Prevista</x:v>
      </x:c>
      <x:c r="O104" s="29" t="n">
        <x:f>IF(A104="","",$A$5-C104)</x:f>
        <x:v>-681</x:v>
      </x:c>
      <x:c r="P104" s="131" t="n">
        <x:f>IF(A104="","",IF(AND(O104&gt;0,MAX(K104-L104,0)&gt;0,N104&lt;&gt;"Paga"),ROUND(MAX(K104-L104,0)*'Parâmetros'!$B$34,2),0))</x:f>
        <x:v>0</x:v>
      </x:c>
      <x:c r="Q104" s="131" t="n">
        <x:f>IF(A104="","",IF(AND(O104&gt;0,MAX(K104-L104,0)&gt;0,N104&lt;&gt;"Paga"),ROUND(MAX(K104-L104,0)*'Parâmetros'!$B$35*(O104/'Parâmetros'!$B$33),2),0))</x:f>
        <x:v>0</x:v>
      </x:c>
      <x:c r="R104" s="131" t="n">
        <x:f>IF(A104="","",IF(O104&gt;0,ROUND(MAX(K104-L104,0)+P104+Q104,2),0))</x:f>
        <x:v>0</x:v>
      </x:c>
      <x:c r="S104" s="131" t="n">
        <x:f>IF(A104="","",IF(OR(N104="Paga",O104&gt;0),0,ROUND(IF(K104=0,0,G104*MAX(K104-L104,0)/K104)/(1+'Parâmetros'!$C$13)^((C104-$A$5)/30),2)))</x:f>
        <x:v>56.43</x:v>
      </x:c>
      <x:c r="T104" s="131" t="n">
        <x:f>IF(A104="","",0)</x:f>
        <x:v>0</x:v>
      </x:c>
      <x:c r="U104" s="131" t="n">
        <x:f>IF(A104="","",0)</x:f>
        <x:v>0</x:v>
      </x:c>
      <x:c r="V104" s="131" t="n">
        <x:f>IF(A104="","",IF(N104="Paga",0,IF(O104&gt;0,R104,S104)))</x:f>
        <x:v>56.43</x:v>
      </x:c>
      <x:c r="W104" s="131" t="n">
        <x:f>IF(A104="","",ROUND(MAX(D104-F104,0),2))</x:f>
        <x:v>7152.37</x:v>
      </x:c>
      <x:c r="X104" s="131" t="n">
        <x:f>IF(A104="","",ROUND(SUM($G104:$G$407),2))</x:f>
        <x:v>8939.36</x:v>
      </x:c>
      <x:c r="Y104" s="131" t="n">
        <x:f>IF(A104="","",ROUND(MAX(X104-D104,0),2))</x:f>
        <x:v>1736.26</x:v>
      </x:c>
      <x:c r="Z104" s="131" t="n">
        <x:f>IF(A104="","",ROUND(SUM($V104:$V$407),2))</x:f>
        <x:v>5282.47</x:v>
      </x:c>
      <x:c r="AA104" s="131" t="n">
        <x:f>IF(A104="","",ROUND(SUM($K104:$K$407)-Z104,2))</x:f>
        <x:v>47443.26</x:v>
      </x:c>
      <x:c r="AB104" s="77"/>
      <x:c r="AC104" s="36" t="str">
        <x:f>IF(A104="","",IF(O104&gt;0,"Vencido: saldo da fatura + mora",IF(O104&lt;=0,"Vincendo: VP da parcela financeira; comissão/proteção futuras isentas","")))</x:f>
        <x:v>Vincendo: VP da parcela financeira; comissão/proteção futuras isentas</x:v>
      </x:c>
    </x:row>
    <x:row r="105">
      <x:c r="A105" s="129" t="n">
        <x:f>IF(ROW()-7&lt;=Contrato!$C$16,ROW()-7,"")</x:f>
        <x:v>98</x:v>
      </x:c>
      <x:c r="B105" s="129" t="n">
        <x:f>IF(A105="","",Contrato!$C$16)</x:f>
        <x:v>209</x:v>
      </x:c>
      <x:c r="C105" s="130" t="n">
        <x:f>IF(A105="","",IF(AB105&lt;&gt;"",AB105,IF(Contrato!$C$14="Mensal",EDATE(Contrato!$C$13,A105-1),Contrato!$C$13+(A105-1)*IF(Contrato!$C$14="Quinzenal",14,IF(Contrato!$C$14="Semanal",7,1)))))</x:f>
        <x:v>46948</x:v>
      </x:c>
      <x:c r="D105" s="131" t="n">
        <x:f>IF(A105="","",W104)</x:f>
        <x:v>7152.37</x:v>
      </x:c>
      <x:c r="E105" s="131" t="n">
        <x:f>IF(A105="","",ROUND(D105*Simulador!$I$18,2))</x:f>
        <x:v>28.19</x:v>
      </x:c>
      <x:c r="F105" s="131" t="n">
        <x:f>IF(A105="","",ROUND(MIN(D105,MAX(G105-E105,0)),2))</x:f>
        <x:v>50.93</x:v>
      </x:c>
      <x:c r="G105" s="131" t="n">
        <x:f>IF(A105="","",IF(A105&lt;Contrato!$C$16,Contrato!$C$27,Contrato!$C$28))</x:f>
        <x:v>79.12</x:v>
      </x:c>
      <x:c r="H105" s="131" t="n">
        <x:f>IF(A105="","",Contrato!$C$29)</x:f>
        <x:v>199.99</x:v>
      </x:c>
      <x:c r="I105" s="131" t="n">
        <x:f>IF(A105="","",Contrato!$C$30)</x:f>
        <x:v>187.5</x:v>
      </x:c>
      <x:c r="J105" s="131" t="n">
        <x:f>IF(A105="","",Contrato!$C$31)</x:f>
        <x:v>0</x:v>
      </x:c>
      <x:c r="K105" s="131" t="n">
        <x:f>IF(A105="","",ROUND(SUM(G105:J105),2))</x:f>
        <x:v>466.61</x:v>
      </x:c>
      <x:c r="L105" s="80"/>
      <x:c r="M105" s="77"/>
      <x:c r="N105" s="29" t="str">
        <x:f>IF(A105="","",IF(L105&gt;=K105,"Paga",IF(L105&gt;0,"Paga parcialmente",IF(C105&lt;$A$5,"Vencida","Prevista"))))</x:f>
        <x:v>Prevista</x:v>
      </x:c>
      <x:c r="O105" s="29" t="n">
        <x:f>IF(A105="","",$A$5-C105)</x:f>
        <x:v>-688</x:v>
      </x:c>
      <x:c r="P105" s="131" t="n">
        <x:f>IF(A105="","",IF(AND(O105&gt;0,MAX(K105-L105,0)&gt;0,N105&lt;&gt;"Paga"),ROUND(MAX(K105-L105,0)*'Parâmetros'!$B$34,2),0))</x:f>
        <x:v>0</x:v>
      </x:c>
      <x:c r="Q105" s="131" t="n">
        <x:f>IF(A105="","",IF(AND(O105&gt;0,MAX(K105-L105,0)&gt;0,N105&lt;&gt;"Paga"),ROUND(MAX(K105-L105,0)*'Parâmetros'!$B$35*(O105/'Parâmetros'!$B$33),2),0))</x:f>
        <x:v>0</x:v>
      </x:c>
      <x:c r="R105" s="131" t="n">
        <x:f>IF(A105="","",IF(O105&gt;0,ROUND(MAX(K105-L105,0)+P105+Q105,2),0))</x:f>
        <x:v>0</x:v>
      </x:c>
      <x:c r="S105" s="131" t="n">
        <x:f>IF(A105="","",IF(OR(N105="Paga",O105&gt;0),0,ROUND(IF(K105=0,0,G105*MAX(K105-L105,0)/K105)/(1+'Parâmetros'!$C$13)^((C105-$A$5)/30),2)))</x:f>
        <x:v>56.23</x:v>
      </x:c>
      <x:c r="T105" s="131" t="n">
        <x:f>IF(A105="","",0)</x:f>
        <x:v>0</x:v>
      </x:c>
      <x:c r="U105" s="131" t="n">
        <x:f>IF(A105="","",0)</x:f>
        <x:v>0</x:v>
      </x:c>
      <x:c r="V105" s="131" t="n">
        <x:f>IF(A105="","",IF(N105="Paga",0,IF(O105&gt;0,R105,S105)))</x:f>
        <x:v>56.23</x:v>
      </x:c>
      <x:c r="W105" s="131" t="n">
        <x:f>IF(A105="","",ROUND(MAX(D105-F105,0),2))</x:f>
        <x:v>7101.44</x:v>
      </x:c>
      <x:c r="X105" s="131" t="n">
        <x:f>IF(A105="","",ROUND(SUM($G105:$G$407),2))</x:f>
        <x:v>8860.24</x:v>
      </x:c>
      <x:c r="Y105" s="131" t="n">
        <x:f>IF(A105="","",ROUND(MAX(X105-D105,0),2))</x:f>
        <x:v>1707.87</x:v>
      </x:c>
      <x:c r="Z105" s="131" t="n">
        <x:f>IF(A105="","",ROUND(SUM($V105:$V$407),2))</x:f>
        <x:v>5226.04</x:v>
      </x:c>
      <x:c r="AA105" s="131" t="n">
        <x:f>IF(A105="","",ROUND(SUM($K105:$K$407)-Z105,2))</x:f>
        <x:v>47033.08</x:v>
      </x:c>
      <x:c r="AB105" s="77"/>
      <x:c r="AC105" s="36" t="str">
        <x:f>IF(A105="","",IF(O105&gt;0,"Vencido: saldo da fatura + mora",IF(O105&lt;=0,"Vincendo: VP da parcela financeira; comissão/proteção futuras isentas","")))</x:f>
        <x:v>Vincendo: VP da parcela financeira; comissão/proteção futuras isentas</x:v>
      </x:c>
    </x:row>
    <x:row r="106">
      <x:c r="A106" s="129" t="n">
        <x:f>IF(ROW()-7&lt;=Contrato!$C$16,ROW()-7,"")</x:f>
        <x:v>99</x:v>
      </x:c>
      <x:c r="B106" s="129" t="n">
        <x:f>IF(A106="","",Contrato!$C$16)</x:f>
        <x:v>209</x:v>
      </x:c>
      <x:c r="C106" s="130" t="n">
        <x:f>IF(A106="","",IF(AB106&lt;&gt;"",AB106,IF(Contrato!$C$14="Mensal",EDATE(Contrato!$C$13,A106-1),Contrato!$C$13+(A106-1)*IF(Contrato!$C$14="Quinzenal",14,IF(Contrato!$C$14="Semanal",7,1)))))</x:f>
        <x:v>46955</x:v>
      </x:c>
      <x:c r="D106" s="131" t="n">
        <x:f>IF(A106="","",W105)</x:f>
        <x:v>7101.44</x:v>
      </x:c>
      <x:c r="E106" s="131" t="n">
        <x:f>IF(A106="","",ROUND(D106*Simulador!$I$18,2))</x:f>
        <x:v>27.99</x:v>
      </x:c>
      <x:c r="F106" s="131" t="n">
        <x:f>IF(A106="","",ROUND(MIN(D106,MAX(G106-E106,0)),2))</x:f>
        <x:v>51.13</x:v>
      </x:c>
      <x:c r="G106" s="131" t="n">
        <x:f>IF(A106="","",IF(A106&lt;Contrato!$C$16,Contrato!$C$27,Contrato!$C$28))</x:f>
        <x:v>79.12</x:v>
      </x:c>
      <x:c r="H106" s="131" t="n">
        <x:f>IF(A106="","",Contrato!$C$29)</x:f>
        <x:v>199.99</x:v>
      </x:c>
      <x:c r="I106" s="131" t="n">
        <x:f>IF(A106="","",Contrato!$C$30)</x:f>
        <x:v>187.5</x:v>
      </x:c>
      <x:c r="J106" s="131" t="n">
        <x:f>IF(A106="","",Contrato!$C$31)</x:f>
        <x:v>0</x:v>
      </x:c>
      <x:c r="K106" s="131" t="n">
        <x:f>IF(A106="","",ROUND(SUM(G106:J106),2))</x:f>
        <x:v>466.61</x:v>
      </x:c>
      <x:c r="L106" s="80"/>
      <x:c r="M106" s="77"/>
      <x:c r="N106" s="29" t="str">
        <x:f>IF(A106="","",IF(L106&gt;=K106,"Paga",IF(L106&gt;0,"Paga parcialmente",IF(C106&lt;$A$5,"Vencida","Prevista"))))</x:f>
        <x:v>Prevista</x:v>
      </x:c>
      <x:c r="O106" s="29" t="n">
        <x:f>IF(A106="","",$A$5-C106)</x:f>
        <x:v>-695</x:v>
      </x:c>
      <x:c r="P106" s="131" t="n">
        <x:f>IF(A106="","",IF(AND(O106&gt;0,MAX(K106-L106,0)&gt;0,N106&lt;&gt;"Paga"),ROUND(MAX(K106-L106,0)*'Parâmetros'!$B$34,2),0))</x:f>
        <x:v>0</x:v>
      </x:c>
      <x:c r="Q106" s="131" t="n">
        <x:f>IF(A106="","",IF(AND(O106&gt;0,MAX(K106-L106,0)&gt;0,N106&lt;&gt;"Paga"),ROUND(MAX(K106-L106,0)*'Parâmetros'!$B$35*(O106/'Parâmetros'!$B$33),2),0))</x:f>
        <x:v>0</x:v>
      </x:c>
      <x:c r="R106" s="131" t="n">
        <x:f>IF(A106="","",IF(O106&gt;0,ROUND(MAX(K106-L106,0)+P106+Q106,2),0))</x:f>
        <x:v>0</x:v>
      </x:c>
      <x:c r="S106" s="131" t="n">
        <x:f>IF(A106="","",IF(OR(N106="Paga",O106&gt;0),0,ROUND(IF(K106=0,0,G106*MAX(K106-L106,0)/K106)/(1+'Parâmetros'!$C$13)^((C106-$A$5)/30),2)))</x:f>
        <x:v>56.04</x:v>
      </x:c>
      <x:c r="T106" s="131" t="n">
        <x:f>IF(A106="","",0)</x:f>
        <x:v>0</x:v>
      </x:c>
      <x:c r="U106" s="131" t="n">
        <x:f>IF(A106="","",0)</x:f>
        <x:v>0</x:v>
      </x:c>
      <x:c r="V106" s="131" t="n">
        <x:f>IF(A106="","",IF(N106="Paga",0,IF(O106&gt;0,R106,S106)))</x:f>
        <x:v>56.04</x:v>
      </x:c>
      <x:c r="W106" s="131" t="n">
        <x:f>IF(A106="","",ROUND(MAX(D106-F106,0),2))</x:f>
        <x:v>7050.31</x:v>
      </x:c>
      <x:c r="X106" s="131" t="n">
        <x:f>IF(A106="","",ROUND(SUM($G106:$G$407),2))</x:f>
        <x:v>8781.12</x:v>
      </x:c>
      <x:c r="Y106" s="131" t="n">
        <x:f>IF(A106="","",ROUND(MAX(X106-D106,0),2))</x:f>
        <x:v>1679.68</x:v>
      </x:c>
      <x:c r="Z106" s="131" t="n">
        <x:f>IF(A106="","",ROUND(SUM($V106:$V$407),2))</x:f>
        <x:v>5169.81</x:v>
      </x:c>
      <x:c r="AA106" s="131" t="n">
        <x:f>IF(A106="","",ROUND(SUM($K106:$K$407)-Z106,2))</x:f>
        <x:v>46622.7</x:v>
      </x:c>
      <x:c r="AB106" s="77"/>
      <x:c r="AC106" s="36" t="str">
        <x:f>IF(A106="","",IF(O106&gt;0,"Vencido: saldo da fatura + mora",IF(O106&lt;=0,"Vincendo: VP da parcela financeira; comissão/proteção futuras isentas","")))</x:f>
        <x:v>Vincendo: VP da parcela financeira; comissão/proteção futuras isentas</x:v>
      </x:c>
    </x:row>
    <x:row r="107">
      <x:c r="A107" s="129" t="n">
        <x:f>IF(ROW()-7&lt;=Contrato!$C$16,ROW()-7,"")</x:f>
        <x:v>100</x:v>
      </x:c>
      <x:c r="B107" s="129" t="n">
        <x:f>IF(A107="","",Contrato!$C$16)</x:f>
        <x:v>209</x:v>
      </x:c>
      <x:c r="C107" s="130" t="n">
        <x:f>IF(A107="","",IF(AB107&lt;&gt;"",AB107,IF(Contrato!$C$14="Mensal",EDATE(Contrato!$C$13,A107-1),Contrato!$C$13+(A107-1)*IF(Contrato!$C$14="Quinzenal",14,IF(Contrato!$C$14="Semanal",7,1)))))</x:f>
        <x:v>46962</x:v>
      </x:c>
      <x:c r="D107" s="131" t="n">
        <x:f>IF(A107="","",W106)</x:f>
        <x:v>7050.31</x:v>
      </x:c>
      <x:c r="E107" s="131" t="n">
        <x:f>IF(A107="","",ROUND(D107*Simulador!$I$18,2))</x:f>
        <x:v>27.79</x:v>
      </x:c>
      <x:c r="F107" s="131" t="n">
        <x:f>IF(A107="","",ROUND(MIN(D107,MAX(G107-E107,0)),2))</x:f>
        <x:v>51.33</x:v>
      </x:c>
      <x:c r="G107" s="131" t="n">
        <x:f>IF(A107="","",IF(A107&lt;Contrato!$C$16,Contrato!$C$27,Contrato!$C$28))</x:f>
        <x:v>79.12</x:v>
      </x:c>
      <x:c r="H107" s="131" t="n">
        <x:f>IF(A107="","",Contrato!$C$29)</x:f>
        <x:v>199.99</x:v>
      </x:c>
      <x:c r="I107" s="131" t="n">
        <x:f>IF(A107="","",Contrato!$C$30)</x:f>
        <x:v>187.5</x:v>
      </x:c>
      <x:c r="J107" s="131" t="n">
        <x:f>IF(A107="","",Contrato!$C$31)</x:f>
        <x:v>0</x:v>
      </x:c>
      <x:c r="K107" s="131" t="n">
        <x:f>IF(A107="","",ROUND(SUM(G107:J107),2))</x:f>
        <x:v>466.61</x:v>
      </x:c>
      <x:c r="L107" s="80"/>
      <x:c r="M107" s="77"/>
      <x:c r="N107" s="29" t="str">
        <x:f>IF(A107="","",IF(L107&gt;=K107,"Paga",IF(L107&gt;0,"Paga parcialmente",IF(C107&lt;$A$5,"Vencida","Prevista"))))</x:f>
        <x:v>Prevista</x:v>
      </x:c>
      <x:c r="O107" s="29" t="n">
        <x:f>IF(A107="","",$A$5-C107)</x:f>
        <x:v>-702</x:v>
      </x:c>
      <x:c r="P107" s="131" t="n">
        <x:f>IF(A107="","",IF(AND(O107&gt;0,MAX(K107-L107,0)&gt;0,N107&lt;&gt;"Paga"),ROUND(MAX(K107-L107,0)*'Parâmetros'!$B$34,2),0))</x:f>
        <x:v>0</x:v>
      </x:c>
      <x:c r="Q107" s="131" t="n">
        <x:f>IF(A107="","",IF(AND(O107&gt;0,MAX(K107-L107,0)&gt;0,N107&lt;&gt;"Paga"),ROUND(MAX(K107-L107,0)*'Parâmetros'!$B$35*(O107/'Parâmetros'!$B$33),2),0))</x:f>
        <x:v>0</x:v>
      </x:c>
      <x:c r="R107" s="131" t="n">
        <x:f>IF(A107="","",IF(O107&gt;0,ROUND(MAX(K107-L107,0)+P107+Q107,2),0))</x:f>
        <x:v>0</x:v>
      </x:c>
      <x:c r="S107" s="131" t="n">
        <x:f>IF(A107="","",IF(OR(N107="Paga",O107&gt;0),0,ROUND(IF(K107=0,0,G107*MAX(K107-L107,0)/K107)/(1+'Parâmetros'!$C$13)^((C107-$A$5)/30),2)))</x:f>
        <x:v>55.84</x:v>
      </x:c>
      <x:c r="T107" s="131" t="n">
        <x:f>IF(A107="","",0)</x:f>
        <x:v>0</x:v>
      </x:c>
      <x:c r="U107" s="131" t="n">
        <x:f>IF(A107="","",0)</x:f>
        <x:v>0</x:v>
      </x:c>
      <x:c r="V107" s="131" t="n">
        <x:f>IF(A107="","",IF(N107="Paga",0,IF(O107&gt;0,R107,S107)))</x:f>
        <x:v>55.84</x:v>
      </x:c>
      <x:c r="W107" s="131" t="n">
        <x:f>IF(A107="","",ROUND(MAX(D107-F107,0),2))</x:f>
        <x:v>6998.98</x:v>
      </x:c>
      <x:c r="X107" s="131" t="n">
        <x:f>IF(A107="","",ROUND(SUM($G107:$G$407),2))</x:f>
        <x:v>8702</x:v>
      </x:c>
      <x:c r="Y107" s="131" t="n">
        <x:f>IF(A107="","",ROUND(MAX(X107-D107,0),2))</x:f>
        <x:v>1651.69</x:v>
      </x:c>
      <x:c r="Z107" s="131" t="n">
        <x:f>IF(A107="","",ROUND(SUM($V107:$V$407),2))</x:f>
        <x:v>5113.77</x:v>
      </x:c>
      <x:c r="AA107" s="131" t="n">
        <x:f>IF(A107="","",ROUND(SUM($K107:$K$407)-Z107,2))</x:f>
        <x:v>46212.13</x:v>
      </x:c>
      <x:c r="AB107" s="77"/>
      <x:c r="AC107" s="36" t="str">
        <x:f>IF(A107="","",IF(O107&gt;0,"Vencido: saldo da fatura + mora",IF(O107&lt;=0,"Vincendo: VP da parcela financeira; comissão/proteção futuras isentas","")))</x:f>
        <x:v>Vincendo: VP da parcela financeira; comissão/proteção futuras isentas</x:v>
      </x:c>
    </x:row>
    <x:row r="108">
      <x:c r="A108" s="129" t="n">
        <x:f>IF(ROW()-7&lt;=Contrato!$C$16,ROW()-7,"")</x:f>
        <x:v>101</x:v>
      </x:c>
      <x:c r="B108" s="129" t="n">
        <x:f>IF(A108="","",Contrato!$C$16)</x:f>
        <x:v>209</x:v>
      </x:c>
      <x:c r="C108" s="130" t="n">
        <x:f>IF(A108="","",IF(AB108&lt;&gt;"",AB108,IF(Contrato!$C$14="Mensal",EDATE(Contrato!$C$13,A108-1),Contrato!$C$13+(A108-1)*IF(Contrato!$C$14="Quinzenal",14,IF(Contrato!$C$14="Semanal",7,1)))))</x:f>
        <x:v>46969</x:v>
      </x:c>
      <x:c r="D108" s="131" t="n">
        <x:f>IF(A108="","",W107)</x:f>
        <x:v>6998.98</x:v>
      </x:c>
      <x:c r="E108" s="131" t="n">
        <x:f>IF(A108="","",ROUND(D108*Simulador!$I$18,2))</x:f>
        <x:v>27.58</x:v>
      </x:c>
      <x:c r="F108" s="131" t="n">
        <x:f>IF(A108="","",ROUND(MIN(D108,MAX(G108-E108,0)),2))</x:f>
        <x:v>51.54</x:v>
      </x:c>
      <x:c r="G108" s="131" t="n">
        <x:f>IF(A108="","",IF(A108&lt;Contrato!$C$16,Contrato!$C$27,Contrato!$C$28))</x:f>
        <x:v>79.12</x:v>
      </x:c>
      <x:c r="H108" s="131" t="n">
        <x:f>IF(A108="","",Contrato!$C$29)</x:f>
        <x:v>199.99</x:v>
      </x:c>
      <x:c r="I108" s="131" t="n">
        <x:f>IF(A108="","",Contrato!$C$30)</x:f>
        <x:v>187.5</x:v>
      </x:c>
      <x:c r="J108" s="131" t="n">
        <x:f>IF(A108="","",Contrato!$C$31)</x:f>
        <x:v>0</x:v>
      </x:c>
      <x:c r="K108" s="131" t="n">
        <x:f>IF(A108="","",ROUND(SUM(G108:J108),2))</x:f>
        <x:v>466.61</x:v>
      </x:c>
      <x:c r="L108" s="80"/>
      <x:c r="M108" s="77"/>
      <x:c r="N108" s="29" t="str">
        <x:f>IF(A108="","",IF(L108&gt;=K108,"Paga",IF(L108&gt;0,"Paga parcialmente",IF(C108&lt;$A$5,"Vencida","Prevista"))))</x:f>
        <x:v>Prevista</x:v>
      </x:c>
      <x:c r="O108" s="29" t="n">
        <x:f>IF(A108="","",$A$5-C108)</x:f>
        <x:v>-709</x:v>
      </x:c>
      <x:c r="P108" s="131" t="n">
        <x:f>IF(A108="","",IF(AND(O108&gt;0,MAX(K108-L108,0)&gt;0,N108&lt;&gt;"Paga"),ROUND(MAX(K108-L108,0)*'Parâmetros'!$B$34,2),0))</x:f>
        <x:v>0</x:v>
      </x:c>
      <x:c r="Q108" s="131" t="n">
        <x:f>IF(A108="","",IF(AND(O108&gt;0,MAX(K108-L108,0)&gt;0,N108&lt;&gt;"Paga"),ROUND(MAX(K108-L108,0)*'Parâmetros'!$B$35*(O108/'Parâmetros'!$B$33),2),0))</x:f>
        <x:v>0</x:v>
      </x:c>
      <x:c r="R108" s="131" t="n">
        <x:f>IF(A108="","",IF(O108&gt;0,ROUND(MAX(K108-L108,0)+P108+Q108,2),0))</x:f>
        <x:v>0</x:v>
      </x:c>
      <x:c r="S108" s="131" t="n">
        <x:f>IF(A108="","",IF(OR(N108="Paga",O108&gt;0),0,ROUND(IF(K108=0,0,G108*MAX(K108-L108,0)/K108)/(1+'Parâmetros'!$C$13)^((C108-$A$5)/30),2)))</x:f>
        <x:v>55.65</x:v>
      </x:c>
      <x:c r="T108" s="131" t="n">
        <x:f>IF(A108="","",0)</x:f>
        <x:v>0</x:v>
      </x:c>
      <x:c r="U108" s="131" t="n">
        <x:f>IF(A108="","",0)</x:f>
        <x:v>0</x:v>
      </x:c>
      <x:c r="V108" s="131" t="n">
        <x:f>IF(A108="","",IF(N108="Paga",0,IF(O108&gt;0,R108,S108)))</x:f>
        <x:v>55.65</x:v>
      </x:c>
      <x:c r="W108" s="131" t="n">
        <x:f>IF(A108="","",ROUND(MAX(D108-F108,0),2))</x:f>
        <x:v>6947.44</x:v>
      </x:c>
      <x:c r="X108" s="131" t="n">
        <x:f>IF(A108="","",ROUND(SUM($G108:$G$407),2))</x:f>
        <x:v>8622.88</x:v>
      </x:c>
      <x:c r="Y108" s="131" t="n">
        <x:f>IF(A108="","",ROUND(MAX(X108-D108,0),2))</x:f>
        <x:v>1623.9</x:v>
      </x:c>
      <x:c r="Z108" s="131" t="n">
        <x:f>IF(A108="","",ROUND(SUM($V108:$V$407),2))</x:f>
        <x:v>5057.93</x:v>
      </x:c>
      <x:c r="AA108" s="131" t="n">
        <x:f>IF(A108="","",ROUND(SUM($K108:$K$407)-Z108,2))</x:f>
        <x:v>45801.36</x:v>
      </x:c>
      <x:c r="AB108" s="77"/>
      <x:c r="AC108" s="36" t="str">
        <x:f>IF(A108="","",IF(O108&gt;0,"Vencido: saldo da fatura + mora",IF(O108&lt;=0,"Vincendo: VP da parcela financeira; comissão/proteção futuras isentas","")))</x:f>
        <x:v>Vincendo: VP da parcela financeira; comissão/proteção futuras isentas</x:v>
      </x:c>
    </x:row>
    <x:row r="109">
      <x:c r="A109" s="129" t="n">
        <x:f>IF(ROW()-7&lt;=Contrato!$C$16,ROW()-7,"")</x:f>
        <x:v>102</x:v>
      </x:c>
      <x:c r="B109" s="129" t="n">
        <x:f>IF(A109="","",Contrato!$C$16)</x:f>
        <x:v>209</x:v>
      </x:c>
      <x:c r="C109" s="130" t="n">
        <x:f>IF(A109="","",IF(AB109&lt;&gt;"",AB109,IF(Contrato!$C$14="Mensal",EDATE(Contrato!$C$13,A109-1),Contrato!$C$13+(A109-1)*IF(Contrato!$C$14="Quinzenal",14,IF(Contrato!$C$14="Semanal",7,1)))))</x:f>
        <x:v>46976</x:v>
      </x:c>
      <x:c r="D109" s="131" t="n">
        <x:f>IF(A109="","",W108)</x:f>
        <x:v>6947.44</x:v>
      </x:c>
      <x:c r="E109" s="131" t="n">
        <x:f>IF(A109="","",ROUND(D109*Simulador!$I$18,2))</x:f>
        <x:v>27.38</x:v>
      </x:c>
      <x:c r="F109" s="131" t="n">
        <x:f>IF(A109="","",ROUND(MIN(D109,MAX(G109-E109,0)),2))</x:f>
        <x:v>51.74</x:v>
      </x:c>
      <x:c r="G109" s="131" t="n">
        <x:f>IF(A109="","",IF(A109&lt;Contrato!$C$16,Contrato!$C$27,Contrato!$C$28))</x:f>
        <x:v>79.12</x:v>
      </x:c>
      <x:c r="H109" s="131" t="n">
        <x:f>IF(A109="","",Contrato!$C$29)</x:f>
        <x:v>199.99</x:v>
      </x:c>
      <x:c r="I109" s="131" t="n">
        <x:f>IF(A109="","",Contrato!$C$30)</x:f>
        <x:v>187.5</x:v>
      </x:c>
      <x:c r="J109" s="131" t="n">
        <x:f>IF(A109="","",Contrato!$C$31)</x:f>
        <x:v>0</x:v>
      </x:c>
      <x:c r="K109" s="131" t="n">
        <x:f>IF(A109="","",ROUND(SUM(G109:J109),2))</x:f>
        <x:v>466.61</x:v>
      </x:c>
      <x:c r="L109" s="80"/>
      <x:c r="M109" s="77"/>
      <x:c r="N109" s="29" t="str">
        <x:f>IF(A109="","",IF(L109&gt;=K109,"Paga",IF(L109&gt;0,"Paga parcialmente",IF(C109&lt;$A$5,"Vencida","Prevista"))))</x:f>
        <x:v>Prevista</x:v>
      </x:c>
      <x:c r="O109" s="29" t="n">
        <x:f>IF(A109="","",$A$5-C109)</x:f>
        <x:v>-716</x:v>
      </x:c>
      <x:c r="P109" s="131" t="n">
        <x:f>IF(A109="","",IF(AND(O109&gt;0,MAX(K109-L109,0)&gt;0,N109&lt;&gt;"Paga"),ROUND(MAX(K109-L109,0)*'Parâmetros'!$B$34,2),0))</x:f>
        <x:v>0</x:v>
      </x:c>
      <x:c r="Q109" s="131" t="n">
        <x:f>IF(A109="","",IF(AND(O109&gt;0,MAX(K109-L109,0)&gt;0,N109&lt;&gt;"Paga"),ROUND(MAX(K109-L109,0)*'Parâmetros'!$B$35*(O109/'Parâmetros'!$B$33),2),0))</x:f>
        <x:v>0</x:v>
      </x:c>
      <x:c r="R109" s="131" t="n">
        <x:f>IF(A109="","",IF(O109&gt;0,ROUND(MAX(K109-L109,0)+P109+Q109,2),0))</x:f>
        <x:v>0</x:v>
      </x:c>
      <x:c r="S109" s="131" t="n">
        <x:f>IF(A109="","",IF(OR(N109="Paga",O109&gt;0),0,ROUND(IF(K109=0,0,G109*MAX(K109-L109,0)/K109)/(1+'Parâmetros'!$C$13)^((C109-$A$5)/30),2)))</x:f>
        <x:v>55.46</x:v>
      </x:c>
      <x:c r="T109" s="131" t="n">
        <x:f>IF(A109="","",0)</x:f>
        <x:v>0</x:v>
      </x:c>
      <x:c r="U109" s="131" t="n">
        <x:f>IF(A109="","",0)</x:f>
        <x:v>0</x:v>
      </x:c>
      <x:c r="V109" s="131" t="n">
        <x:f>IF(A109="","",IF(N109="Paga",0,IF(O109&gt;0,R109,S109)))</x:f>
        <x:v>55.46</x:v>
      </x:c>
      <x:c r="W109" s="131" t="n">
        <x:f>IF(A109="","",ROUND(MAX(D109-F109,0),2))</x:f>
        <x:v>6895.7</x:v>
      </x:c>
      <x:c r="X109" s="131" t="n">
        <x:f>IF(A109="","",ROUND(SUM($G109:$G$407),2))</x:f>
        <x:v>8543.76</x:v>
      </x:c>
      <x:c r="Y109" s="131" t="n">
        <x:f>IF(A109="","",ROUND(MAX(X109-D109,0),2))</x:f>
        <x:v>1596.32</x:v>
      </x:c>
      <x:c r="Z109" s="131" t="n">
        <x:f>IF(A109="","",ROUND(SUM($V109:$V$407),2))</x:f>
        <x:v>5002.28</x:v>
      </x:c>
      <x:c r="AA109" s="131" t="n">
        <x:f>IF(A109="","",ROUND(SUM($K109:$K$407)-Z109,2))</x:f>
        <x:v>45390.4</x:v>
      </x:c>
      <x:c r="AB109" s="77"/>
      <x:c r="AC109" s="36" t="str">
        <x:f>IF(A109="","",IF(O109&gt;0,"Vencido: saldo da fatura + mora",IF(O109&lt;=0,"Vincendo: VP da parcela financeira; comissão/proteção futuras isentas","")))</x:f>
        <x:v>Vincendo: VP da parcela financeira; comissão/proteção futuras isentas</x:v>
      </x:c>
    </x:row>
    <x:row r="110">
      <x:c r="A110" s="129" t="n">
        <x:f>IF(ROW()-7&lt;=Contrato!$C$16,ROW()-7,"")</x:f>
        <x:v>103</x:v>
      </x:c>
      <x:c r="B110" s="129" t="n">
        <x:f>IF(A110="","",Contrato!$C$16)</x:f>
        <x:v>209</x:v>
      </x:c>
      <x:c r="C110" s="130" t="n">
        <x:f>IF(A110="","",IF(AB110&lt;&gt;"",AB110,IF(Contrato!$C$14="Mensal",EDATE(Contrato!$C$13,A110-1),Contrato!$C$13+(A110-1)*IF(Contrato!$C$14="Quinzenal",14,IF(Contrato!$C$14="Semanal",7,1)))))</x:f>
        <x:v>46983</x:v>
      </x:c>
      <x:c r="D110" s="131" t="n">
        <x:f>IF(A110="","",W109)</x:f>
        <x:v>6895.7</x:v>
      </x:c>
      <x:c r="E110" s="131" t="n">
        <x:f>IF(A110="","",ROUND(D110*Simulador!$I$18,2))</x:f>
        <x:v>27.18</x:v>
      </x:c>
      <x:c r="F110" s="131" t="n">
        <x:f>IF(A110="","",ROUND(MIN(D110,MAX(G110-E110,0)),2))</x:f>
        <x:v>51.94</x:v>
      </x:c>
      <x:c r="G110" s="131" t="n">
        <x:f>IF(A110="","",IF(A110&lt;Contrato!$C$16,Contrato!$C$27,Contrato!$C$28))</x:f>
        <x:v>79.12</x:v>
      </x:c>
      <x:c r="H110" s="131" t="n">
        <x:f>IF(A110="","",Contrato!$C$29)</x:f>
        <x:v>199.99</x:v>
      </x:c>
      <x:c r="I110" s="131" t="n">
        <x:f>IF(A110="","",Contrato!$C$30)</x:f>
        <x:v>187.5</x:v>
      </x:c>
      <x:c r="J110" s="131" t="n">
        <x:f>IF(A110="","",Contrato!$C$31)</x:f>
        <x:v>0</x:v>
      </x:c>
      <x:c r="K110" s="131" t="n">
        <x:f>IF(A110="","",ROUND(SUM(G110:J110),2))</x:f>
        <x:v>466.61</x:v>
      </x:c>
      <x:c r="L110" s="80"/>
      <x:c r="M110" s="77"/>
      <x:c r="N110" s="29" t="str">
        <x:f>IF(A110="","",IF(L110&gt;=K110,"Paga",IF(L110&gt;0,"Paga parcialmente",IF(C110&lt;$A$5,"Vencida","Prevista"))))</x:f>
        <x:v>Prevista</x:v>
      </x:c>
      <x:c r="O110" s="29" t="n">
        <x:f>IF(A110="","",$A$5-C110)</x:f>
        <x:v>-723</x:v>
      </x:c>
      <x:c r="P110" s="131" t="n">
        <x:f>IF(A110="","",IF(AND(O110&gt;0,MAX(K110-L110,0)&gt;0,N110&lt;&gt;"Paga"),ROUND(MAX(K110-L110,0)*'Parâmetros'!$B$34,2),0))</x:f>
        <x:v>0</x:v>
      </x:c>
      <x:c r="Q110" s="131" t="n">
        <x:f>IF(A110="","",IF(AND(O110&gt;0,MAX(K110-L110,0)&gt;0,N110&lt;&gt;"Paga"),ROUND(MAX(K110-L110,0)*'Parâmetros'!$B$35*(O110/'Parâmetros'!$B$33),2),0))</x:f>
        <x:v>0</x:v>
      </x:c>
      <x:c r="R110" s="131" t="n">
        <x:f>IF(A110="","",IF(O110&gt;0,ROUND(MAX(K110-L110,0)+P110+Q110,2),0))</x:f>
        <x:v>0</x:v>
      </x:c>
      <x:c r="S110" s="131" t="n">
        <x:f>IF(A110="","",IF(OR(N110="Paga",O110&gt;0),0,ROUND(IF(K110=0,0,G110*MAX(K110-L110,0)/K110)/(1+'Parâmetros'!$C$13)^((C110-$A$5)/30),2)))</x:f>
        <x:v>55.27</x:v>
      </x:c>
      <x:c r="T110" s="131" t="n">
        <x:f>IF(A110="","",0)</x:f>
        <x:v>0</x:v>
      </x:c>
      <x:c r="U110" s="131" t="n">
        <x:f>IF(A110="","",0)</x:f>
        <x:v>0</x:v>
      </x:c>
      <x:c r="V110" s="131" t="n">
        <x:f>IF(A110="","",IF(N110="Paga",0,IF(O110&gt;0,R110,S110)))</x:f>
        <x:v>55.27</x:v>
      </x:c>
      <x:c r="W110" s="131" t="n">
        <x:f>IF(A110="","",ROUND(MAX(D110-F110,0),2))</x:f>
        <x:v>6843.76</x:v>
      </x:c>
      <x:c r="X110" s="131" t="n">
        <x:f>IF(A110="","",ROUND(SUM($G110:$G$407),2))</x:f>
        <x:v>8464.64</x:v>
      </x:c>
      <x:c r="Y110" s="131" t="n">
        <x:f>IF(A110="","",ROUND(MAX(X110-D110,0),2))</x:f>
        <x:v>1568.94</x:v>
      </x:c>
      <x:c r="Z110" s="131" t="n">
        <x:f>IF(A110="","",ROUND(SUM($V110:$V$407),2))</x:f>
        <x:v>4946.82</x:v>
      </x:c>
      <x:c r="AA110" s="131" t="n">
        <x:f>IF(A110="","",ROUND(SUM($K110:$K$407)-Z110,2))</x:f>
        <x:v>44979.25</x:v>
      </x:c>
      <x:c r="AB110" s="77"/>
      <x:c r="AC110" s="36" t="str">
        <x:f>IF(A110="","",IF(O110&gt;0,"Vencido: saldo da fatura + mora",IF(O110&lt;=0,"Vincendo: VP da parcela financeira; comissão/proteção futuras isentas","")))</x:f>
        <x:v>Vincendo: VP da parcela financeira; comissão/proteção futuras isentas</x:v>
      </x:c>
    </x:row>
    <x:row r="111">
      <x:c r="A111" s="129" t="n">
        <x:f>IF(ROW()-7&lt;=Contrato!$C$16,ROW()-7,"")</x:f>
        <x:v>104</x:v>
      </x:c>
      <x:c r="B111" s="129" t="n">
        <x:f>IF(A111="","",Contrato!$C$16)</x:f>
        <x:v>209</x:v>
      </x:c>
      <x:c r="C111" s="130" t="n">
        <x:f>IF(A111="","",IF(AB111&lt;&gt;"",AB111,IF(Contrato!$C$14="Mensal",EDATE(Contrato!$C$13,A111-1),Contrato!$C$13+(A111-1)*IF(Contrato!$C$14="Quinzenal",14,IF(Contrato!$C$14="Semanal",7,1)))))</x:f>
        <x:v>46990</x:v>
      </x:c>
      <x:c r="D111" s="131" t="n">
        <x:f>IF(A111="","",W110)</x:f>
        <x:v>6843.76</x:v>
      </x:c>
      <x:c r="E111" s="131" t="n">
        <x:f>IF(A111="","",ROUND(D111*Simulador!$I$18,2))</x:f>
        <x:v>26.97</x:v>
      </x:c>
      <x:c r="F111" s="131" t="n">
        <x:f>IF(A111="","",ROUND(MIN(D111,MAX(G111-E111,0)),2))</x:f>
        <x:v>52.15</x:v>
      </x:c>
      <x:c r="G111" s="131" t="n">
        <x:f>IF(A111="","",IF(A111&lt;Contrato!$C$16,Contrato!$C$27,Contrato!$C$28))</x:f>
        <x:v>79.12</x:v>
      </x:c>
      <x:c r="H111" s="131" t="n">
        <x:f>IF(A111="","",Contrato!$C$29)</x:f>
        <x:v>199.99</x:v>
      </x:c>
      <x:c r="I111" s="131" t="n">
        <x:f>IF(A111="","",Contrato!$C$30)</x:f>
        <x:v>187.5</x:v>
      </x:c>
      <x:c r="J111" s="131" t="n">
        <x:f>IF(A111="","",Contrato!$C$31)</x:f>
        <x:v>0</x:v>
      </x:c>
      <x:c r="K111" s="131" t="n">
        <x:f>IF(A111="","",ROUND(SUM(G111:J111),2))</x:f>
        <x:v>466.61</x:v>
      </x:c>
      <x:c r="L111" s="80"/>
      <x:c r="M111" s="77"/>
      <x:c r="N111" s="29" t="str">
        <x:f>IF(A111="","",IF(L111&gt;=K111,"Paga",IF(L111&gt;0,"Paga parcialmente",IF(C111&lt;$A$5,"Vencida","Prevista"))))</x:f>
        <x:v>Prevista</x:v>
      </x:c>
      <x:c r="O111" s="29" t="n">
        <x:f>IF(A111="","",$A$5-C111)</x:f>
        <x:v>-730</x:v>
      </x:c>
      <x:c r="P111" s="131" t="n">
        <x:f>IF(A111="","",IF(AND(O111&gt;0,MAX(K111-L111,0)&gt;0,N111&lt;&gt;"Paga"),ROUND(MAX(K111-L111,0)*'Parâmetros'!$B$34,2),0))</x:f>
        <x:v>0</x:v>
      </x:c>
      <x:c r="Q111" s="131" t="n">
        <x:f>IF(A111="","",IF(AND(O111&gt;0,MAX(K111-L111,0)&gt;0,N111&lt;&gt;"Paga"),ROUND(MAX(K111-L111,0)*'Parâmetros'!$B$35*(O111/'Parâmetros'!$B$33),2),0))</x:f>
        <x:v>0</x:v>
      </x:c>
      <x:c r="R111" s="131" t="n">
        <x:f>IF(A111="","",IF(O111&gt;0,ROUND(MAX(K111-L111,0)+P111+Q111,2),0))</x:f>
        <x:v>0</x:v>
      </x:c>
      <x:c r="S111" s="131" t="n">
        <x:f>IF(A111="","",IF(OR(N111="Paga",O111&gt;0),0,ROUND(IF(K111=0,0,G111*MAX(K111-L111,0)/K111)/(1+'Parâmetros'!$C$13)^((C111-$A$5)/30),2)))</x:f>
        <x:v>55.07</x:v>
      </x:c>
      <x:c r="T111" s="131" t="n">
        <x:f>IF(A111="","",0)</x:f>
        <x:v>0</x:v>
      </x:c>
      <x:c r="U111" s="131" t="n">
        <x:f>IF(A111="","",0)</x:f>
        <x:v>0</x:v>
      </x:c>
      <x:c r="V111" s="131" t="n">
        <x:f>IF(A111="","",IF(N111="Paga",0,IF(O111&gt;0,R111,S111)))</x:f>
        <x:v>55.07</x:v>
      </x:c>
      <x:c r="W111" s="131" t="n">
        <x:f>IF(A111="","",ROUND(MAX(D111-F111,0),2))</x:f>
        <x:v>6791.61</x:v>
      </x:c>
      <x:c r="X111" s="131" t="n">
        <x:f>IF(A111="","",ROUND(SUM($G111:$G$407),2))</x:f>
        <x:v>8385.52</x:v>
      </x:c>
      <x:c r="Y111" s="131" t="n">
        <x:f>IF(A111="","",ROUND(MAX(X111-D111,0),2))</x:f>
        <x:v>1541.76</x:v>
      </x:c>
      <x:c r="Z111" s="131" t="n">
        <x:f>IF(A111="","",ROUND(SUM($V111:$V$407),2))</x:f>
        <x:v>4891.55</x:v>
      </x:c>
      <x:c r="AA111" s="131" t="n">
        <x:f>IF(A111="","",ROUND(SUM($K111:$K$407)-Z111,2))</x:f>
        <x:v>44567.91</x:v>
      </x:c>
      <x:c r="AB111" s="77"/>
      <x:c r="AC111" s="36" t="str">
        <x:f>IF(A111="","",IF(O111&gt;0,"Vencido: saldo da fatura + mora",IF(O111&lt;=0,"Vincendo: VP da parcela financeira; comissão/proteção futuras isentas","")))</x:f>
        <x:v>Vincendo: VP da parcela financeira; comissão/proteção futuras isentas</x:v>
      </x:c>
    </x:row>
    <x:row r="112">
      <x:c r="A112" s="129" t="n">
        <x:f>IF(ROW()-7&lt;=Contrato!$C$16,ROW()-7,"")</x:f>
        <x:v>105</x:v>
      </x:c>
      <x:c r="B112" s="129" t="n">
        <x:f>IF(A112="","",Contrato!$C$16)</x:f>
        <x:v>209</x:v>
      </x:c>
      <x:c r="C112" s="130" t="n">
        <x:f>IF(A112="","",IF(AB112&lt;&gt;"",AB112,IF(Contrato!$C$14="Mensal",EDATE(Contrato!$C$13,A112-1),Contrato!$C$13+(A112-1)*IF(Contrato!$C$14="Quinzenal",14,IF(Contrato!$C$14="Semanal",7,1)))))</x:f>
        <x:v>46997</x:v>
      </x:c>
      <x:c r="D112" s="131" t="n">
        <x:f>IF(A112="","",W111)</x:f>
        <x:v>6791.61</x:v>
      </x:c>
      <x:c r="E112" s="131" t="n">
        <x:f>IF(A112="","",ROUND(D112*Simulador!$I$18,2))</x:f>
        <x:v>26.77</x:v>
      </x:c>
      <x:c r="F112" s="131" t="n">
        <x:f>IF(A112="","",ROUND(MIN(D112,MAX(G112-E112,0)),2))</x:f>
        <x:v>52.35</x:v>
      </x:c>
      <x:c r="G112" s="131" t="n">
        <x:f>IF(A112="","",IF(A112&lt;Contrato!$C$16,Contrato!$C$27,Contrato!$C$28))</x:f>
        <x:v>79.12</x:v>
      </x:c>
      <x:c r="H112" s="131" t="n">
        <x:f>IF(A112="","",Contrato!$C$29)</x:f>
        <x:v>199.99</x:v>
      </x:c>
      <x:c r="I112" s="131" t="n">
        <x:f>IF(A112="","",Contrato!$C$30)</x:f>
        <x:v>187.5</x:v>
      </x:c>
      <x:c r="J112" s="131" t="n">
        <x:f>IF(A112="","",Contrato!$C$31)</x:f>
        <x:v>0</x:v>
      </x:c>
      <x:c r="K112" s="131" t="n">
        <x:f>IF(A112="","",ROUND(SUM(G112:J112),2))</x:f>
        <x:v>466.61</x:v>
      </x:c>
      <x:c r="L112" s="80"/>
      <x:c r="M112" s="77"/>
      <x:c r="N112" s="29" t="str">
        <x:f>IF(A112="","",IF(L112&gt;=K112,"Paga",IF(L112&gt;0,"Paga parcialmente",IF(C112&lt;$A$5,"Vencida","Prevista"))))</x:f>
        <x:v>Prevista</x:v>
      </x:c>
      <x:c r="O112" s="29" t="n">
        <x:f>IF(A112="","",$A$5-C112)</x:f>
        <x:v>-737</x:v>
      </x:c>
      <x:c r="P112" s="131" t="n">
        <x:f>IF(A112="","",IF(AND(O112&gt;0,MAX(K112-L112,0)&gt;0,N112&lt;&gt;"Paga"),ROUND(MAX(K112-L112,0)*'Parâmetros'!$B$34,2),0))</x:f>
        <x:v>0</x:v>
      </x:c>
      <x:c r="Q112" s="131" t="n">
        <x:f>IF(A112="","",IF(AND(O112&gt;0,MAX(K112-L112,0)&gt;0,N112&lt;&gt;"Paga"),ROUND(MAX(K112-L112,0)*'Parâmetros'!$B$35*(O112/'Parâmetros'!$B$33),2),0))</x:f>
        <x:v>0</x:v>
      </x:c>
      <x:c r="R112" s="131" t="n">
        <x:f>IF(A112="","",IF(O112&gt;0,ROUND(MAX(K112-L112,0)+P112+Q112,2),0))</x:f>
        <x:v>0</x:v>
      </x:c>
      <x:c r="S112" s="131" t="n">
        <x:f>IF(A112="","",IF(OR(N112="Paga",O112&gt;0),0,ROUND(IF(K112=0,0,G112*MAX(K112-L112,0)/K112)/(1+'Parâmetros'!$C$13)^((C112-$A$5)/30),2)))</x:f>
        <x:v>54.88</x:v>
      </x:c>
      <x:c r="T112" s="131" t="n">
        <x:f>IF(A112="","",0)</x:f>
        <x:v>0</x:v>
      </x:c>
      <x:c r="U112" s="131" t="n">
        <x:f>IF(A112="","",0)</x:f>
        <x:v>0</x:v>
      </x:c>
      <x:c r="V112" s="131" t="n">
        <x:f>IF(A112="","",IF(N112="Paga",0,IF(O112&gt;0,R112,S112)))</x:f>
        <x:v>54.88</x:v>
      </x:c>
      <x:c r="W112" s="131" t="n">
        <x:f>IF(A112="","",ROUND(MAX(D112-F112,0),2))</x:f>
        <x:v>6739.26</x:v>
      </x:c>
      <x:c r="X112" s="131" t="n">
        <x:f>IF(A112="","",ROUND(SUM($G112:$G$407),2))</x:f>
        <x:v>8306.4</x:v>
      </x:c>
      <x:c r="Y112" s="131" t="n">
        <x:f>IF(A112="","",ROUND(MAX(X112-D112,0),2))</x:f>
        <x:v>1514.79</x:v>
      </x:c>
      <x:c r="Z112" s="131" t="n">
        <x:f>IF(A112="","",ROUND(SUM($V112:$V$407),2))</x:f>
        <x:v>4836.48</x:v>
      </x:c>
      <x:c r="AA112" s="131" t="n">
        <x:f>IF(A112="","",ROUND(SUM($K112:$K$407)-Z112,2))</x:f>
        <x:v>44156.37</x:v>
      </x:c>
      <x:c r="AB112" s="77"/>
      <x:c r="AC112" s="36" t="str">
        <x:f>IF(A112="","",IF(O112&gt;0,"Vencido: saldo da fatura + mora",IF(O112&lt;=0,"Vincendo: VP da parcela financeira; comissão/proteção futuras isentas","")))</x:f>
        <x:v>Vincendo: VP da parcela financeira; comissão/proteção futuras isentas</x:v>
      </x:c>
    </x:row>
    <x:row r="113">
      <x:c r="A113" s="129" t="n">
        <x:f>IF(ROW()-7&lt;=Contrato!$C$16,ROW()-7,"")</x:f>
        <x:v>106</x:v>
      </x:c>
      <x:c r="B113" s="129" t="n">
        <x:f>IF(A113="","",Contrato!$C$16)</x:f>
        <x:v>209</x:v>
      </x:c>
      <x:c r="C113" s="130" t="n">
        <x:f>IF(A113="","",IF(AB113&lt;&gt;"",AB113,IF(Contrato!$C$14="Mensal",EDATE(Contrato!$C$13,A113-1),Contrato!$C$13+(A113-1)*IF(Contrato!$C$14="Quinzenal",14,IF(Contrato!$C$14="Semanal",7,1)))))</x:f>
        <x:v>47004</x:v>
      </x:c>
      <x:c r="D113" s="131" t="n">
        <x:f>IF(A113="","",W112)</x:f>
        <x:v>6739.26</x:v>
      </x:c>
      <x:c r="E113" s="131" t="n">
        <x:f>IF(A113="","",ROUND(D113*Simulador!$I$18,2))</x:f>
        <x:v>26.56</x:v>
      </x:c>
      <x:c r="F113" s="131" t="n">
        <x:f>IF(A113="","",ROUND(MIN(D113,MAX(G113-E113,0)),2))</x:f>
        <x:v>52.56</x:v>
      </x:c>
      <x:c r="G113" s="131" t="n">
        <x:f>IF(A113="","",IF(A113&lt;Contrato!$C$16,Contrato!$C$27,Contrato!$C$28))</x:f>
        <x:v>79.12</x:v>
      </x:c>
      <x:c r="H113" s="131" t="n">
        <x:f>IF(A113="","",Contrato!$C$29)</x:f>
        <x:v>199.99</x:v>
      </x:c>
      <x:c r="I113" s="131" t="n">
        <x:f>IF(A113="","",Contrato!$C$30)</x:f>
        <x:v>187.5</x:v>
      </x:c>
      <x:c r="J113" s="131" t="n">
        <x:f>IF(A113="","",Contrato!$C$31)</x:f>
        <x:v>0</x:v>
      </x:c>
      <x:c r="K113" s="131" t="n">
        <x:f>IF(A113="","",ROUND(SUM(G113:J113),2))</x:f>
        <x:v>466.61</x:v>
      </x:c>
      <x:c r="L113" s="80"/>
      <x:c r="M113" s="77"/>
      <x:c r="N113" s="29" t="str">
        <x:f>IF(A113="","",IF(L113&gt;=K113,"Paga",IF(L113&gt;0,"Paga parcialmente",IF(C113&lt;$A$5,"Vencida","Prevista"))))</x:f>
        <x:v>Prevista</x:v>
      </x:c>
      <x:c r="O113" s="29" t="n">
        <x:f>IF(A113="","",$A$5-C113)</x:f>
        <x:v>-744</x:v>
      </x:c>
      <x:c r="P113" s="131" t="n">
        <x:f>IF(A113="","",IF(AND(O113&gt;0,MAX(K113-L113,0)&gt;0,N113&lt;&gt;"Paga"),ROUND(MAX(K113-L113,0)*'Parâmetros'!$B$34,2),0))</x:f>
        <x:v>0</x:v>
      </x:c>
      <x:c r="Q113" s="131" t="n">
        <x:f>IF(A113="","",IF(AND(O113&gt;0,MAX(K113-L113,0)&gt;0,N113&lt;&gt;"Paga"),ROUND(MAX(K113-L113,0)*'Parâmetros'!$B$35*(O113/'Parâmetros'!$B$33),2),0))</x:f>
        <x:v>0</x:v>
      </x:c>
      <x:c r="R113" s="131" t="n">
        <x:f>IF(A113="","",IF(O113&gt;0,ROUND(MAX(K113-L113,0)+P113+Q113,2),0))</x:f>
        <x:v>0</x:v>
      </x:c>
      <x:c r="S113" s="131" t="n">
        <x:f>IF(A113="","",IF(OR(N113="Paga",O113&gt;0),0,ROUND(IF(K113=0,0,G113*MAX(K113-L113,0)/K113)/(1+'Parâmetros'!$C$13)^((C113-$A$5)/30),2)))</x:f>
        <x:v>54.69</x:v>
      </x:c>
      <x:c r="T113" s="131" t="n">
        <x:f>IF(A113="","",0)</x:f>
        <x:v>0</x:v>
      </x:c>
      <x:c r="U113" s="131" t="n">
        <x:f>IF(A113="","",0)</x:f>
        <x:v>0</x:v>
      </x:c>
      <x:c r="V113" s="131" t="n">
        <x:f>IF(A113="","",IF(N113="Paga",0,IF(O113&gt;0,R113,S113)))</x:f>
        <x:v>54.69</x:v>
      </x:c>
      <x:c r="W113" s="131" t="n">
        <x:f>IF(A113="","",ROUND(MAX(D113-F113,0),2))</x:f>
        <x:v>6686.7</x:v>
      </x:c>
      <x:c r="X113" s="131" t="n">
        <x:f>IF(A113="","",ROUND(SUM($G113:$G$407),2))</x:f>
        <x:v>8227.28</x:v>
      </x:c>
      <x:c r="Y113" s="131" t="n">
        <x:f>IF(A113="","",ROUND(MAX(X113-D113,0),2))</x:f>
        <x:v>1488.02</x:v>
      </x:c>
      <x:c r="Z113" s="131" t="n">
        <x:f>IF(A113="","",ROUND(SUM($V113:$V$407),2))</x:f>
        <x:v>4781.6</x:v>
      </x:c>
      <x:c r="AA113" s="131" t="n">
        <x:f>IF(A113="","",ROUND(SUM($K113:$K$407)-Z113,2))</x:f>
        <x:v>43744.64</x:v>
      </x:c>
      <x:c r="AB113" s="77"/>
      <x:c r="AC113" s="36" t="str">
        <x:f>IF(A113="","",IF(O113&gt;0,"Vencido: saldo da fatura + mora",IF(O113&lt;=0,"Vincendo: VP da parcela financeira; comissão/proteção futuras isentas","")))</x:f>
        <x:v>Vincendo: VP da parcela financeira; comissão/proteção futuras isentas</x:v>
      </x:c>
    </x:row>
    <x:row r="114">
      <x:c r="A114" s="129" t="n">
        <x:f>IF(ROW()-7&lt;=Contrato!$C$16,ROW()-7,"")</x:f>
        <x:v>107</x:v>
      </x:c>
      <x:c r="B114" s="129" t="n">
        <x:f>IF(A114="","",Contrato!$C$16)</x:f>
        <x:v>209</x:v>
      </x:c>
      <x:c r="C114" s="130" t="n">
        <x:f>IF(A114="","",IF(AB114&lt;&gt;"",AB114,IF(Contrato!$C$14="Mensal",EDATE(Contrato!$C$13,A114-1),Contrato!$C$13+(A114-1)*IF(Contrato!$C$14="Quinzenal",14,IF(Contrato!$C$14="Semanal",7,1)))))</x:f>
        <x:v>47011</x:v>
      </x:c>
      <x:c r="D114" s="131" t="n">
        <x:f>IF(A114="","",W113)</x:f>
        <x:v>6686.7</x:v>
      </x:c>
      <x:c r="E114" s="131" t="n">
        <x:f>IF(A114="","",ROUND(D114*Simulador!$I$18,2))</x:f>
        <x:v>26.35</x:v>
      </x:c>
      <x:c r="F114" s="131" t="n">
        <x:f>IF(A114="","",ROUND(MIN(D114,MAX(G114-E114,0)),2))</x:f>
        <x:v>52.77</x:v>
      </x:c>
      <x:c r="G114" s="131" t="n">
        <x:f>IF(A114="","",IF(A114&lt;Contrato!$C$16,Contrato!$C$27,Contrato!$C$28))</x:f>
        <x:v>79.12</x:v>
      </x:c>
      <x:c r="H114" s="131" t="n">
        <x:f>IF(A114="","",Contrato!$C$29)</x:f>
        <x:v>199.99</x:v>
      </x:c>
      <x:c r="I114" s="131" t="n">
        <x:f>IF(A114="","",Contrato!$C$30)</x:f>
        <x:v>187.5</x:v>
      </x:c>
      <x:c r="J114" s="131" t="n">
        <x:f>IF(A114="","",Contrato!$C$31)</x:f>
        <x:v>0</x:v>
      </x:c>
      <x:c r="K114" s="131" t="n">
        <x:f>IF(A114="","",ROUND(SUM(G114:J114),2))</x:f>
        <x:v>466.61</x:v>
      </x:c>
      <x:c r="L114" s="80"/>
      <x:c r="M114" s="77"/>
      <x:c r="N114" s="29" t="str">
        <x:f>IF(A114="","",IF(L114&gt;=K114,"Paga",IF(L114&gt;0,"Paga parcialmente",IF(C114&lt;$A$5,"Vencida","Prevista"))))</x:f>
        <x:v>Prevista</x:v>
      </x:c>
      <x:c r="O114" s="29" t="n">
        <x:f>IF(A114="","",$A$5-C114)</x:f>
        <x:v>-751</x:v>
      </x:c>
      <x:c r="P114" s="131" t="n">
        <x:f>IF(A114="","",IF(AND(O114&gt;0,MAX(K114-L114,0)&gt;0,N114&lt;&gt;"Paga"),ROUND(MAX(K114-L114,0)*'Parâmetros'!$B$34,2),0))</x:f>
        <x:v>0</x:v>
      </x:c>
      <x:c r="Q114" s="131" t="n">
        <x:f>IF(A114="","",IF(AND(O114&gt;0,MAX(K114-L114,0)&gt;0,N114&lt;&gt;"Paga"),ROUND(MAX(K114-L114,0)*'Parâmetros'!$B$35*(O114/'Parâmetros'!$B$33),2),0))</x:f>
        <x:v>0</x:v>
      </x:c>
      <x:c r="R114" s="131" t="n">
        <x:f>IF(A114="","",IF(O114&gt;0,ROUND(MAX(K114-L114,0)+P114+Q114,2),0))</x:f>
        <x:v>0</x:v>
      </x:c>
      <x:c r="S114" s="131" t="n">
        <x:f>IF(A114="","",IF(OR(N114="Paga",O114&gt;0),0,ROUND(IF(K114=0,0,G114*MAX(K114-L114,0)/K114)/(1+'Parâmetros'!$C$13)^((C114-$A$5)/30),2)))</x:f>
        <x:v>54.5</x:v>
      </x:c>
      <x:c r="T114" s="131" t="n">
        <x:f>IF(A114="","",0)</x:f>
        <x:v>0</x:v>
      </x:c>
      <x:c r="U114" s="131" t="n">
        <x:f>IF(A114="","",0)</x:f>
        <x:v>0</x:v>
      </x:c>
      <x:c r="V114" s="131" t="n">
        <x:f>IF(A114="","",IF(N114="Paga",0,IF(O114&gt;0,R114,S114)))</x:f>
        <x:v>54.5</x:v>
      </x:c>
      <x:c r="W114" s="131" t="n">
        <x:f>IF(A114="","",ROUND(MAX(D114-F114,0),2))</x:f>
        <x:v>6633.93</x:v>
      </x:c>
      <x:c r="X114" s="131" t="n">
        <x:f>IF(A114="","",ROUND(SUM($G114:$G$407),2))</x:f>
        <x:v>8148.16</x:v>
      </x:c>
      <x:c r="Y114" s="131" t="n">
        <x:f>IF(A114="","",ROUND(MAX(X114-D114,0),2))</x:f>
        <x:v>1461.46</x:v>
      </x:c>
      <x:c r="Z114" s="131" t="n">
        <x:f>IF(A114="","",ROUND(SUM($V114:$V$407),2))</x:f>
        <x:v>4726.91</x:v>
      </x:c>
      <x:c r="AA114" s="131" t="n">
        <x:f>IF(A114="","",ROUND(SUM($K114:$K$407)-Z114,2))</x:f>
        <x:v>43332.72</x:v>
      </x:c>
      <x:c r="AB114" s="77"/>
      <x:c r="AC114" s="36" t="str">
        <x:f>IF(A114="","",IF(O114&gt;0,"Vencido: saldo da fatura + mora",IF(O114&lt;=0,"Vincendo: VP da parcela financeira; comissão/proteção futuras isentas","")))</x:f>
        <x:v>Vincendo: VP da parcela financeira; comissão/proteção futuras isentas</x:v>
      </x:c>
    </x:row>
    <x:row r="115">
      <x:c r="A115" s="129" t="n">
        <x:f>IF(ROW()-7&lt;=Contrato!$C$16,ROW()-7,"")</x:f>
        <x:v>108</x:v>
      </x:c>
      <x:c r="B115" s="129" t="n">
        <x:f>IF(A115="","",Contrato!$C$16)</x:f>
        <x:v>209</x:v>
      </x:c>
      <x:c r="C115" s="130" t="n">
        <x:f>IF(A115="","",IF(AB115&lt;&gt;"",AB115,IF(Contrato!$C$14="Mensal",EDATE(Contrato!$C$13,A115-1),Contrato!$C$13+(A115-1)*IF(Contrato!$C$14="Quinzenal",14,IF(Contrato!$C$14="Semanal",7,1)))))</x:f>
        <x:v>47018</x:v>
      </x:c>
      <x:c r="D115" s="131" t="n">
        <x:f>IF(A115="","",W114)</x:f>
        <x:v>6633.93</x:v>
      </x:c>
      <x:c r="E115" s="131" t="n">
        <x:f>IF(A115="","",ROUND(D115*Simulador!$I$18,2))</x:f>
        <x:v>26.14</x:v>
      </x:c>
      <x:c r="F115" s="131" t="n">
        <x:f>IF(A115="","",ROUND(MIN(D115,MAX(G115-E115,0)),2))</x:f>
        <x:v>52.98</x:v>
      </x:c>
      <x:c r="G115" s="131" t="n">
        <x:f>IF(A115="","",IF(A115&lt;Contrato!$C$16,Contrato!$C$27,Contrato!$C$28))</x:f>
        <x:v>79.12</x:v>
      </x:c>
      <x:c r="H115" s="131" t="n">
        <x:f>IF(A115="","",Contrato!$C$29)</x:f>
        <x:v>199.99</x:v>
      </x:c>
      <x:c r="I115" s="131" t="n">
        <x:f>IF(A115="","",Contrato!$C$30)</x:f>
        <x:v>187.5</x:v>
      </x:c>
      <x:c r="J115" s="131" t="n">
        <x:f>IF(A115="","",Contrato!$C$31)</x:f>
        <x:v>0</x:v>
      </x:c>
      <x:c r="K115" s="131" t="n">
        <x:f>IF(A115="","",ROUND(SUM(G115:J115),2))</x:f>
        <x:v>466.61</x:v>
      </x:c>
      <x:c r="L115" s="80"/>
      <x:c r="M115" s="77"/>
      <x:c r="N115" s="29" t="str">
        <x:f>IF(A115="","",IF(L115&gt;=K115,"Paga",IF(L115&gt;0,"Paga parcialmente",IF(C115&lt;$A$5,"Vencida","Prevista"))))</x:f>
        <x:v>Prevista</x:v>
      </x:c>
      <x:c r="O115" s="29" t="n">
        <x:f>IF(A115="","",$A$5-C115)</x:f>
        <x:v>-758</x:v>
      </x:c>
      <x:c r="P115" s="131" t="n">
        <x:f>IF(A115="","",IF(AND(O115&gt;0,MAX(K115-L115,0)&gt;0,N115&lt;&gt;"Paga"),ROUND(MAX(K115-L115,0)*'Parâmetros'!$B$34,2),0))</x:f>
        <x:v>0</x:v>
      </x:c>
      <x:c r="Q115" s="131" t="n">
        <x:f>IF(A115="","",IF(AND(O115&gt;0,MAX(K115-L115,0)&gt;0,N115&lt;&gt;"Paga"),ROUND(MAX(K115-L115,0)*'Parâmetros'!$B$35*(O115/'Parâmetros'!$B$33),2),0))</x:f>
        <x:v>0</x:v>
      </x:c>
      <x:c r="R115" s="131" t="n">
        <x:f>IF(A115="","",IF(O115&gt;0,ROUND(MAX(K115-L115,0)+P115+Q115,2),0))</x:f>
        <x:v>0</x:v>
      </x:c>
      <x:c r="S115" s="131" t="n">
        <x:f>IF(A115="","",IF(OR(N115="Paga",O115&gt;0),0,ROUND(IF(K115=0,0,G115*MAX(K115-L115,0)/K115)/(1+'Parâmetros'!$C$13)^((C115-$A$5)/30),2)))</x:f>
        <x:v>54.31</x:v>
      </x:c>
      <x:c r="T115" s="131" t="n">
        <x:f>IF(A115="","",0)</x:f>
        <x:v>0</x:v>
      </x:c>
      <x:c r="U115" s="131" t="n">
        <x:f>IF(A115="","",0)</x:f>
        <x:v>0</x:v>
      </x:c>
      <x:c r="V115" s="131" t="n">
        <x:f>IF(A115="","",IF(N115="Paga",0,IF(O115&gt;0,R115,S115)))</x:f>
        <x:v>54.31</x:v>
      </x:c>
      <x:c r="W115" s="131" t="n">
        <x:f>IF(A115="","",ROUND(MAX(D115-F115,0),2))</x:f>
        <x:v>6580.95</x:v>
      </x:c>
      <x:c r="X115" s="131" t="n">
        <x:f>IF(A115="","",ROUND(SUM($G115:$G$407),2))</x:f>
        <x:v>8069.04</x:v>
      </x:c>
      <x:c r="Y115" s="131" t="n">
        <x:f>IF(A115="","",ROUND(MAX(X115-D115,0),2))</x:f>
        <x:v>1435.11</x:v>
      </x:c>
      <x:c r="Z115" s="131" t="n">
        <x:f>IF(A115="","",ROUND(SUM($V115:$V$407),2))</x:f>
        <x:v>4672.41</x:v>
      </x:c>
      <x:c r="AA115" s="131" t="n">
        <x:f>IF(A115="","",ROUND(SUM($K115:$K$407)-Z115,2))</x:f>
        <x:v>42920.61</x:v>
      </x:c>
      <x:c r="AB115" s="77"/>
      <x:c r="AC115" s="36" t="str">
        <x:f>IF(A115="","",IF(O115&gt;0,"Vencido: saldo da fatura + mora",IF(O115&lt;=0,"Vincendo: VP da parcela financeira; comissão/proteção futuras isentas","")))</x:f>
        <x:v>Vincendo: VP da parcela financeira; comissão/proteção futuras isentas</x:v>
      </x:c>
    </x:row>
    <x:row r="116">
      <x:c r="A116" s="129" t="n">
        <x:f>IF(ROW()-7&lt;=Contrato!$C$16,ROW()-7,"")</x:f>
        <x:v>109</x:v>
      </x:c>
      <x:c r="B116" s="129" t="n">
        <x:f>IF(A116="","",Contrato!$C$16)</x:f>
        <x:v>209</x:v>
      </x:c>
      <x:c r="C116" s="130" t="n">
        <x:f>IF(A116="","",IF(AB116&lt;&gt;"",AB116,IF(Contrato!$C$14="Mensal",EDATE(Contrato!$C$13,A116-1),Contrato!$C$13+(A116-1)*IF(Contrato!$C$14="Quinzenal",14,IF(Contrato!$C$14="Semanal",7,1)))))</x:f>
        <x:v>47025</x:v>
      </x:c>
      <x:c r="D116" s="131" t="n">
        <x:f>IF(A116="","",W115)</x:f>
        <x:v>6580.95</x:v>
      </x:c>
      <x:c r="E116" s="131" t="n">
        <x:f>IF(A116="","",ROUND(D116*Simulador!$I$18,2))</x:f>
        <x:v>25.94</x:v>
      </x:c>
      <x:c r="F116" s="131" t="n">
        <x:f>IF(A116="","",ROUND(MIN(D116,MAX(G116-E116,0)),2))</x:f>
        <x:v>53.18</x:v>
      </x:c>
      <x:c r="G116" s="131" t="n">
        <x:f>IF(A116="","",IF(A116&lt;Contrato!$C$16,Contrato!$C$27,Contrato!$C$28))</x:f>
        <x:v>79.12</x:v>
      </x:c>
      <x:c r="H116" s="131" t="n">
        <x:f>IF(A116="","",Contrato!$C$29)</x:f>
        <x:v>199.99</x:v>
      </x:c>
      <x:c r="I116" s="131" t="n">
        <x:f>IF(A116="","",Contrato!$C$30)</x:f>
        <x:v>187.5</x:v>
      </x:c>
      <x:c r="J116" s="131" t="n">
        <x:f>IF(A116="","",Contrato!$C$31)</x:f>
        <x:v>0</x:v>
      </x:c>
      <x:c r="K116" s="131" t="n">
        <x:f>IF(A116="","",ROUND(SUM(G116:J116),2))</x:f>
        <x:v>466.61</x:v>
      </x:c>
      <x:c r="L116" s="80"/>
      <x:c r="M116" s="77"/>
      <x:c r="N116" s="29" t="str">
        <x:f>IF(A116="","",IF(L116&gt;=K116,"Paga",IF(L116&gt;0,"Paga parcialmente",IF(C116&lt;$A$5,"Vencida","Prevista"))))</x:f>
        <x:v>Prevista</x:v>
      </x:c>
      <x:c r="O116" s="29" t="n">
        <x:f>IF(A116="","",$A$5-C116)</x:f>
        <x:v>-765</x:v>
      </x:c>
      <x:c r="P116" s="131" t="n">
        <x:f>IF(A116="","",IF(AND(O116&gt;0,MAX(K116-L116,0)&gt;0,N116&lt;&gt;"Paga"),ROUND(MAX(K116-L116,0)*'Parâmetros'!$B$34,2),0))</x:f>
        <x:v>0</x:v>
      </x:c>
      <x:c r="Q116" s="131" t="n">
        <x:f>IF(A116="","",IF(AND(O116&gt;0,MAX(K116-L116,0)&gt;0,N116&lt;&gt;"Paga"),ROUND(MAX(K116-L116,0)*'Parâmetros'!$B$35*(O116/'Parâmetros'!$B$33),2),0))</x:f>
        <x:v>0</x:v>
      </x:c>
      <x:c r="R116" s="131" t="n">
        <x:f>IF(A116="","",IF(O116&gt;0,ROUND(MAX(K116-L116,0)+P116+Q116,2),0))</x:f>
        <x:v>0</x:v>
      </x:c>
      <x:c r="S116" s="131" t="n">
        <x:f>IF(A116="","",IF(OR(N116="Paga",O116&gt;0),0,ROUND(IF(K116=0,0,G116*MAX(K116-L116,0)/K116)/(1+'Parâmetros'!$C$13)^((C116-$A$5)/30),2)))</x:f>
        <x:v>54.13</x:v>
      </x:c>
      <x:c r="T116" s="131" t="n">
        <x:f>IF(A116="","",0)</x:f>
        <x:v>0</x:v>
      </x:c>
      <x:c r="U116" s="131" t="n">
        <x:f>IF(A116="","",0)</x:f>
        <x:v>0</x:v>
      </x:c>
      <x:c r="V116" s="131" t="n">
        <x:f>IF(A116="","",IF(N116="Paga",0,IF(O116&gt;0,R116,S116)))</x:f>
        <x:v>54.13</x:v>
      </x:c>
      <x:c r="W116" s="131" t="n">
        <x:f>IF(A116="","",ROUND(MAX(D116-F116,0),2))</x:f>
        <x:v>6527.77</x:v>
      </x:c>
      <x:c r="X116" s="131" t="n">
        <x:f>IF(A116="","",ROUND(SUM($G116:$G$407),2))</x:f>
        <x:v>7989.92</x:v>
      </x:c>
      <x:c r="Y116" s="131" t="n">
        <x:f>IF(A116="","",ROUND(MAX(X116-D116,0),2))</x:f>
        <x:v>1408.97</x:v>
      </x:c>
      <x:c r="Z116" s="131" t="n">
        <x:f>IF(A116="","",ROUND(SUM($V116:$V$407),2))</x:f>
        <x:v>4618.1</x:v>
      </x:c>
      <x:c r="AA116" s="131" t="n">
        <x:f>IF(A116="","",ROUND(SUM($K116:$K$407)-Z116,2))</x:f>
        <x:v>42508.31</x:v>
      </x:c>
      <x:c r="AB116" s="77"/>
      <x:c r="AC116" s="36" t="str">
        <x:f>IF(A116="","",IF(O116&gt;0,"Vencido: saldo da fatura + mora",IF(O116&lt;=0,"Vincendo: VP da parcela financeira; comissão/proteção futuras isentas","")))</x:f>
        <x:v>Vincendo: VP da parcela financeira; comissão/proteção futuras isentas</x:v>
      </x:c>
    </x:row>
    <x:row r="117">
      <x:c r="A117" s="129" t="n">
        <x:f>IF(ROW()-7&lt;=Contrato!$C$16,ROW()-7,"")</x:f>
        <x:v>110</x:v>
      </x:c>
      <x:c r="B117" s="129" t="n">
        <x:f>IF(A117="","",Contrato!$C$16)</x:f>
        <x:v>209</x:v>
      </x:c>
      <x:c r="C117" s="130" t="n">
        <x:f>IF(A117="","",IF(AB117&lt;&gt;"",AB117,IF(Contrato!$C$14="Mensal",EDATE(Contrato!$C$13,A117-1),Contrato!$C$13+(A117-1)*IF(Contrato!$C$14="Quinzenal",14,IF(Contrato!$C$14="Semanal",7,1)))))</x:f>
        <x:v>47032</x:v>
      </x:c>
      <x:c r="D117" s="131" t="n">
        <x:f>IF(A117="","",W116)</x:f>
        <x:v>6527.77</x:v>
      </x:c>
      <x:c r="E117" s="131" t="n">
        <x:f>IF(A117="","",ROUND(D117*Simulador!$I$18,2))</x:f>
        <x:v>25.73</x:v>
      </x:c>
      <x:c r="F117" s="131" t="n">
        <x:f>IF(A117="","",ROUND(MIN(D117,MAX(G117-E117,0)),2))</x:f>
        <x:v>53.39</x:v>
      </x:c>
      <x:c r="G117" s="131" t="n">
        <x:f>IF(A117="","",IF(A117&lt;Contrato!$C$16,Contrato!$C$27,Contrato!$C$28))</x:f>
        <x:v>79.12</x:v>
      </x:c>
      <x:c r="H117" s="131" t="n">
        <x:f>IF(A117="","",Contrato!$C$29)</x:f>
        <x:v>199.99</x:v>
      </x:c>
      <x:c r="I117" s="131" t="n">
        <x:f>IF(A117="","",Contrato!$C$30)</x:f>
        <x:v>187.5</x:v>
      </x:c>
      <x:c r="J117" s="131" t="n">
        <x:f>IF(A117="","",Contrato!$C$31)</x:f>
        <x:v>0</x:v>
      </x:c>
      <x:c r="K117" s="131" t="n">
        <x:f>IF(A117="","",ROUND(SUM(G117:J117),2))</x:f>
        <x:v>466.61</x:v>
      </x:c>
      <x:c r="L117" s="80"/>
      <x:c r="M117" s="77"/>
      <x:c r="N117" s="29" t="str">
        <x:f>IF(A117="","",IF(L117&gt;=K117,"Paga",IF(L117&gt;0,"Paga parcialmente",IF(C117&lt;$A$5,"Vencida","Prevista"))))</x:f>
        <x:v>Prevista</x:v>
      </x:c>
      <x:c r="O117" s="29" t="n">
        <x:f>IF(A117="","",$A$5-C117)</x:f>
        <x:v>-772</x:v>
      </x:c>
      <x:c r="P117" s="131" t="n">
        <x:f>IF(A117="","",IF(AND(O117&gt;0,MAX(K117-L117,0)&gt;0,N117&lt;&gt;"Paga"),ROUND(MAX(K117-L117,0)*'Parâmetros'!$B$34,2),0))</x:f>
        <x:v>0</x:v>
      </x:c>
      <x:c r="Q117" s="131" t="n">
        <x:f>IF(A117="","",IF(AND(O117&gt;0,MAX(K117-L117,0)&gt;0,N117&lt;&gt;"Paga"),ROUND(MAX(K117-L117,0)*'Parâmetros'!$B$35*(O117/'Parâmetros'!$B$33),2),0))</x:f>
        <x:v>0</x:v>
      </x:c>
      <x:c r="R117" s="131" t="n">
        <x:f>IF(A117="","",IF(O117&gt;0,ROUND(MAX(K117-L117,0)+P117+Q117,2),0))</x:f>
        <x:v>0</x:v>
      </x:c>
      <x:c r="S117" s="131" t="n">
        <x:f>IF(A117="","",IF(OR(N117="Paga",O117&gt;0),0,ROUND(IF(K117=0,0,G117*MAX(K117-L117,0)/K117)/(1+'Parâmetros'!$C$13)^((C117-$A$5)/30),2)))</x:f>
        <x:v>53.94</x:v>
      </x:c>
      <x:c r="T117" s="131" t="n">
        <x:f>IF(A117="","",0)</x:f>
        <x:v>0</x:v>
      </x:c>
      <x:c r="U117" s="131" t="n">
        <x:f>IF(A117="","",0)</x:f>
        <x:v>0</x:v>
      </x:c>
      <x:c r="V117" s="131" t="n">
        <x:f>IF(A117="","",IF(N117="Paga",0,IF(O117&gt;0,R117,S117)))</x:f>
        <x:v>53.94</x:v>
      </x:c>
      <x:c r="W117" s="131" t="n">
        <x:f>IF(A117="","",ROUND(MAX(D117-F117,0),2))</x:f>
        <x:v>6474.38</x:v>
      </x:c>
      <x:c r="X117" s="131" t="n">
        <x:f>IF(A117="","",ROUND(SUM($G117:$G$407),2))</x:f>
        <x:v>7910.8</x:v>
      </x:c>
      <x:c r="Y117" s="131" t="n">
        <x:f>IF(A117="","",ROUND(MAX(X117-D117,0),2))</x:f>
        <x:v>1383.03</x:v>
      </x:c>
      <x:c r="Z117" s="131" t="n">
        <x:f>IF(A117="","",ROUND(SUM($V117:$V$407),2))</x:f>
        <x:v>4563.97</x:v>
      </x:c>
      <x:c r="AA117" s="131" t="n">
        <x:f>IF(A117="","",ROUND(SUM($K117:$K$407)-Z117,2))</x:f>
        <x:v>42095.83</x:v>
      </x:c>
      <x:c r="AB117" s="77"/>
      <x:c r="AC117" s="36" t="str">
        <x:f>IF(A117="","",IF(O117&gt;0,"Vencido: saldo da fatura + mora",IF(O117&lt;=0,"Vincendo: VP da parcela financeira; comissão/proteção futuras isentas","")))</x:f>
        <x:v>Vincendo: VP da parcela financeira; comissão/proteção futuras isentas</x:v>
      </x:c>
    </x:row>
    <x:row r="118">
      <x:c r="A118" s="129" t="n">
        <x:f>IF(ROW()-7&lt;=Contrato!$C$16,ROW()-7,"")</x:f>
        <x:v>111</x:v>
      </x:c>
      <x:c r="B118" s="129" t="n">
        <x:f>IF(A118="","",Contrato!$C$16)</x:f>
        <x:v>209</x:v>
      </x:c>
      <x:c r="C118" s="130" t="n">
        <x:f>IF(A118="","",IF(AB118&lt;&gt;"",AB118,IF(Contrato!$C$14="Mensal",EDATE(Contrato!$C$13,A118-1),Contrato!$C$13+(A118-1)*IF(Contrato!$C$14="Quinzenal",14,IF(Contrato!$C$14="Semanal",7,1)))))</x:f>
        <x:v>47039</x:v>
      </x:c>
      <x:c r="D118" s="131" t="n">
        <x:f>IF(A118="","",W117)</x:f>
        <x:v>6474.38</x:v>
      </x:c>
      <x:c r="E118" s="131" t="n">
        <x:f>IF(A118="","",ROUND(D118*Simulador!$I$18,2))</x:f>
        <x:v>25.52</x:v>
      </x:c>
      <x:c r="F118" s="131" t="n">
        <x:f>IF(A118="","",ROUND(MIN(D118,MAX(G118-E118,0)),2))</x:f>
        <x:v>53.6</x:v>
      </x:c>
      <x:c r="G118" s="131" t="n">
        <x:f>IF(A118="","",IF(A118&lt;Contrato!$C$16,Contrato!$C$27,Contrato!$C$28))</x:f>
        <x:v>79.12</x:v>
      </x:c>
      <x:c r="H118" s="131" t="n">
        <x:f>IF(A118="","",Contrato!$C$29)</x:f>
        <x:v>199.99</x:v>
      </x:c>
      <x:c r="I118" s="131" t="n">
        <x:f>IF(A118="","",Contrato!$C$30)</x:f>
        <x:v>187.5</x:v>
      </x:c>
      <x:c r="J118" s="131" t="n">
        <x:f>IF(A118="","",Contrato!$C$31)</x:f>
        <x:v>0</x:v>
      </x:c>
      <x:c r="K118" s="131" t="n">
        <x:f>IF(A118="","",ROUND(SUM(G118:J118),2))</x:f>
        <x:v>466.61</x:v>
      </x:c>
      <x:c r="L118" s="80"/>
      <x:c r="M118" s="77"/>
      <x:c r="N118" s="29" t="str">
        <x:f>IF(A118="","",IF(L118&gt;=K118,"Paga",IF(L118&gt;0,"Paga parcialmente",IF(C118&lt;$A$5,"Vencida","Prevista"))))</x:f>
        <x:v>Prevista</x:v>
      </x:c>
      <x:c r="O118" s="29" t="n">
        <x:f>IF(A118="","",$A$5-C118)</x:f>
        <x:v>-779</x:v>
      </x:c>
      <x:c r="P118" s="131" t="n">
        <x:f>IF(A118="","",IF(AND(O118&gt;0,MAX(K118-L118,0)&gt;0,N118&lt;&gt;"Paga"),ROUND(MAX(K118-L118,0)*'Parâmetros'!$B$34,2),0))</x:f>
        <x:v>0</x:v>
      </x:c>
      <x:c r="Q118" s="131" t="n">
        <x:f>IF(A118="","",IF(AND(O118&gt;0,MAX(K118-L118,0)&gt;0,N118&lt;&gt;"Paga"),ROUND(MAX(K118-L118,0)*'Parâmetros'!$B$35*(O118/'Parâmetros'!$B$33),2),0))</x:f>
        <x:v>0</x:v>
      </x:c>
      <x:c r="R118" s="131" t="n">
        <x:f>IF(A118="","",IF(O118&gt;0,ROUND(MAX(K118-L118,0)+P118+Q118,2),0))</x:f>
        <x:v>0</x:v>
      </x:c>
      <x:c r="S118" s="131" t="n">
        <x:f>IF(A118="","",IF(OR(N118="Paga",O118&gt;0),0,ROUND(IF(K118=0,0,G118*MAX(K118-L118,0)/K118)/(1+'Parâmetros'!$C$13)^((C118-$A$5)/30),2)))</x:f>
        <x:v>53.75</x:v>
      </x:c>
      <x:c r="T118" s="131" t="n">
        <x:f>IF(A118="","",0)</x:f>
        <x:v>0</x:v>
      </x:c>
      <x:c r="U118" s="131" t="n">
        <x:f>IF(A118="","",0)</x:f>
        <x:v>0</x:v>
      </x:c>
      <x:c r="V118" s="131" t="n">
        <x:f>IF(A118="","",IF(N118="Paga",0,IF(O118&gt;0,R118,S118)))</x:f>
        <x:v>53.75</x:v>
      </x:c>
      <x:c r="W118" s="131" t="n">
        <x:f>IF(A118="","",ROUND(MAX(D118-F118,0),2))</x:f>
        <x:v>6420.78</x:v>
      </x:c>
      <x:c r="X118" s="131" t="n">
        <x:f>IF(A118="","",ROUND(SUM($G118:$G$407),2))</x:f>
        <x:v>7831.68</x:v>
      </x:c>
      <x:c r="Y118" s="131" t="n">
        <x:f>IF(A118="","",ROUND(MAX(X118-D118,0),2))</x:f>
        <x:v>1357.3</x:v>
      </x:c>
      <x:c r="Z118" s="131" t="n">
        <x:f>IF(A118="","",ROUND(SUM($V118:$V$407),2))</x:f>
        <x:v>4510.03</x:v>
      </x:c>
      <x:c r="AA118" s="131" t="n">
        <x:f>IF(A118="","",ROUND(SUM($K118:$K$407)-Z118,2))</x:f>
        <x:v>41683.16</x:v>
      </x:c>
      <x:c r="AB118" s="77"/>
      <x:c r="AC118" s="36" t="str">
        <x:f>IF(A118="","",IF(O118&gt;0,"Vencido: saldo da fatura + mora",IF(O118&lt;=0,"Vincendo: VP da parcela financeira; comissão/proteção futuras isentas","")))</x:f>
        <x:v>Vincendo: VP da parcela financeira; comissão/proteção futuras isentas</x:v>
      </x:c>
    </x:row>
    <x:row r="119">
      <x:c r="A119" s="129" t="n">
        <x:f>IF(ROW()-7&lt;=Contrato!$C$16,ROW()-7,"")</x:f>
        <x:v>112</x:v>
      </x:c>
      <x:c r="B119" s="129" t="n">
        <x:f>IF(A119="","",Contrato!$C$16)</x:f>
        <x:v>209</x:v>
      </x:c>
      <x:c r="C119" s="130" t="n">
        <x:f>IF(A119="","",IF(AB119&lt;&gt;"",AB119,IF(Contrato!$C$14="Mensal",EDATE(Contrato!$C$13,A119-1),Contrato!$C$13+(A119-1)*IF(Contrato!$C$14="Quinzenal",14,IF(Contrato!$C$14="Semanal",7,1)))))</x:f>
        <x:v>47046</x:v>
      </x:c>
      <x:c r="D119" s="131" t="n">
        <x:f>IF(A119="","",W118)</x:f>
        <x:v>6420.78</x:v>
      </x:c>
      <x:c r="E119" s="131" t="n">
        <x:f>IF(A119="","",ROUND(D119*Simulador!$I$18,2))</x:f>
        <x:v>25.3</x:v>
      </x:c>
      <x:c r="F119" s="131" t="n">
        <x:f>IF(A119="","",ROUND(MIN(D119,MAX(G119-E119,0)),2))</x:f>
        <x:v>53.82</x:v>
      </x:c>
      <x:c r="G119" s="131" t="n">
        <x:f>IF(A119="","",IF(A119&lt;Contrato!$C$16,Contrato!$C$27,Contrato!$C$28))</x:f>
        <x:v>79.12</x:v>
      </x:c>
      <x:c r="H119" s="131" t="n">
        <x:f>IF(A119="","",Contrato!$C$29)</x:f>
        <x:v>199.99</x:v>
      </x:c>
      <x:c r="I119" s="131" t="n">
        <x:f>IF(A119="","",Contrato!$C$30)</x:f>
        <x:v>187.5</x:v>
      </x:c>
      <x:c r="J119" s="131" t="n">
        <x:f>IF(A119="","",Contrato!$C$31)</x:f>
        <x:v>0</x:v>
      </x:c>
      <x:c r="K119" s="131" t="n">
        <x:f>IF(A119="","",ROUND(SUM(G119:J119),2))</x:f>
        <x:v>466.61</x:v>
      </x:c>
      <x:c r="L119" s="80"/>
      <x:c r="M119" s="77"/>
      <x:c r="N119" s="29" t="str">
        <x:f>IF(A119="","",IF(L119&gt;=K119,"Paga",IF(L119&gt;0,"Paga parcialmente",IF(C119&lt;$A$5,"Vencida","Prevista"))))</x:f>
        <x:v>Prevista</x:v>
      </x:c>
      <x:c r="O119" s="29" t="n">
        <x:f>IF(A119="","",$A$5-C119)</x:f>
        <x:v>-786</x:v>
      </x:c>
      <x:c r="P119" s="131" t="n">
        <x:f>IF(A119="","",IF(AND(O119&gt;0,MAX(K119-L119,0)&gt;0,N119&lt;&gt;"Paga"),ROUND(MAX(K119-L119,0)*'Parâmetros'!$B$34,2),0))</x:f>
        <x:v>0</x:v>
      </x:c>
      <x:c r="Q119" s="131" t="n">
        <x:f>IF(A119="","",IF(AND(O119&gt;0,MAX(K119-L119,0)&gt;0,N119&lt;&gt;"Paga"),ROUND(MAX(K119-L119,0)*'Parâmetros'!$B$35*(O119/'Parâmetros'!$B$33),2),0))</x:f>
        <x:v>0</x:v>
      </x:c>
      <x:c r="R119" s="131" t="n">
        <x:f>IF(A119="","",IF(O119&gt;0,ROUND(MAX(K119-L119,0)+P119+Q119,2),0))</x:f>
        <x:v>0</x:v>
      </x:c>
      <x:c r="S119" s="131" t="n">
        <x:f>IF(A119="","",IF(OR(N119="Paga",O119&gt;0),0,ROUND(IF(K119=0,0,G119*MAX(K119-L119,0)/K119)/(1+'Parâmetros'!$C$13)^((C119-$A$5)/30),2)))</x:f>
        <x:v>53.56</x:v>
      </x:c>
      <x:c r="T119" s="131" t="n">
        <x:f>IF(A119="","",0)</x:f>
        <x:v>0</x:v>
      </x:c>
      <x:c r="U119" s="131" t="n">
        <x:f>IF(A119="","",0)</x:f>
        <x:v>0</x:v>
      </x:c>
      <x:c r="V119" s="131" t="n">
        <x:f>IF(A119="","",IF(N119="Paga",0,IF(O119&gt;0,R119,S119)))</x:f>
        <x:v>53.56</x:v>
      </x:c>
      <x:c r="W119" s="131" t="n">
        <x:f>IF(A119="","",ROUND(MAX(D119-F119,0),2))</x:f>
        <x:v>6366.96</x:v>
      </x:c>
      <x:c r="X119" s="131" t="n">
        <x:f>IF(A119="","",ROUND(SUM($G119:$G$407),2))</x:f>
        <x:v>7752.56</x:v>
      </x:c>
      <x:c r="Y119" s="131" t="n">
        <x:f>IF(A119="","",ROUND(MAX(X119-D119,0),2))</x:f>
        <x:v>1331.78</x:v>
      </x:c>
      <x:c r="Z119" s="131" t="n">
        <x:f>IF(A119="","",ROUND(SUM($V119:$V$407),2))</x:f>
        <x:v>4456.28</x:v>
      </x:c>
      <x:c r="AA119" s="131" t="n">
        <x:f>IF(A119="","",ROUND(SUM($K119:$K$407)-Z119,2))</x:f>
        <x:v>41270.3</x:v>
      </x:c>
      <x:c r="AB119" s="77"/>
      <x:c r="AC119" s="36" t="str">
        <x:f>IF(A119="","",IF(O119&gt;0,"Vencido: saldo da fatura + mora",IF(O119&lt;=0,"Vincendo: VP da parcela financeira; comissão/proteção futuras isentas","")))</x:f>
        <x:v>Vincendo: VP da parcela financeira; comissão/proteção futuras isentas</x:v>
      </x:c>
    </x:row>
    <x:row r="120">
      <x:c r="A120" s="129" t="n">
        <x:f>IF(ROW()-7&lt;=Contrato!$C$16,ROW()-7,"")</x:f>
        <x:v>113</x:v>
      </x:c>
      <x:c r="B120" s="129" t="n">
        <x:f>IF(A120="","",Contrato!$C$16)</x:f>
        <x:v>209</x:v>
      </x:c>
      <x:c r="C120" s="130" t="n">
        <x:f>IF(A120="","",IF(AB120&lt;&gt;"",AB120,IF(Contrato!$C$14="Mensal",EDATE(Contrato!$C$13,A120-1),Contrato!$C$13+(A120-1)*IF(Contrato!$C$14="Quinzenal",14,IF(Contrato!$C$14="Semanal",7,1)))))</x:f>
        <x:v>47053</x:v>
      </x:c>
      <x:c r="D120" s="131" t="n">
        <x:f>IF(A120="","",W119)</x:f>
        <x:v>6366.96</x:v>
      </x:c>
      <x:c r="E120" s="131" t="n">
        <x:f>IF(A120="","",ROUND(D120*Simulador!$I$18,2))</x:f>
        <x:v>25.09</x:v>
      </x:c>
      <x:c r="F120" s="131" t="n">
        <x:f>IF(A120="","",ROUND(MIN(D120,MAX(G120-E120,0)),2))</x:f>
        <x:v>54.03</x:v>
      </x:c>
      <x:c r="G120" s="131" t="n">
        <x:f>IF(A120="","",IF(A120&lt;Contrato!$C$16,Contrato!$C$27,Contrato!$C$28))</x:f>
        <x:v>79.12</x:v>
      </x:c>
      <x:c r="H120" s="131" t="n">
        <x:f>IF(A120="","",Contrato!$C$29)</x:f>
        <x:v>199.99</x:v>
      </x:c>
      <x:c r="I120" s="131" t="n">
        <x:f>IF(A120="","",Contrato!$C$30)</x:f>
        <x:v>187.5</x:v>
      </x:c>
      <x:c r="J120" s="131" t="n">
        <x:f>IF(A120="","",Contrato!$C$31)</x:f>
        <x:v>0</x:v>
      </x:c>
      <x:c r="K120" s="131" t="n">
        <x:f>IF(A120="","",ROUND(SUM(G120:J120),2))</x:f>
        <x:v>466.61</x:v>
      </x:c>
      <x:c r="L120" s="80"/>
      <x:c r="M120" s="77"/>
      <x:c r="N120" s="29" t="str">
        <x:f>IF(A120="","",IF(L120&gt;=K120,"Paga",IF(L120&gt;0,"Paga parcialmente",IF(C120&lt;$A$5,"Vencida","Prevista"))))</x:f>
        <x:v>Prevista</x:v>
      </x:c>
      <x:c r="O120" s="29" t="n">
        <x:f>IF(A120="","",$A$5-C120)</x:f>
        <x:v>-793</x:v>
      </x:c>
      <x:c r="P120" s="131" t="n">
        <x:f>IF(A120="","",IF(AND(O120&gt;0,MAX(K120-L120,0)&gt;0,N120&lt;&gt;"Paga"),ROUND(MAX(K120-L120,0)*'Parâmetros'!$B$34,2),0))</x:f>
        <x:v>0</x:v>
      </x:c>
      <x:c r="Q120" s="131" t="n">
        <x:f>IF(A120="","",IF(AND(O120&gt;0,MAX(K120-L120,0)&gt;0,N120&lt;&gt;"Paga"),ROUND(MAX(K120-L120,0)*'Parâmetros'!$B$35*(O120/'Parâmetros'!$B$33),2),0))</x:f>
        <x:v>0</x:v>
      </x:c>
      <x:c r="R120" s="131" t="n">
        <x:f>IF(A120="","",IF(O120&gt;0,ROUND(MAX(K120-L120,0)+P120+Q120,2),0))</x:f>
        <x:v>0</x:v>
      </x:c>
      <x:c r="S120" s="131" t="n">
        <x:f>IF(A120="","",IF(OR(N120="Paga",O120&gt;0),0,ROUND(IF(K120=0,0,G120*MAX(K120-L120,0)/K120)/(1+'Parâmetros'!$C$13)^((C120-$A$5)/30),2)))</x:f>
        <x:v>53.38</x:v>
      </x:c>
      <x:c r="T120" s="131" t="n">
        <x:f>IF(A120="","",0)</x:f>
        <x:v>0</x:v>
      </x:c>
      <x:c r="U120" s="131" t="n">
        <x:f>IF(A120="","",0)</x:f>
        <x:v>0</x:v>
      </x:c>
      <x:c r="V120" s="131" t="n">
        <x:f>IF(A120="","",IF(N120="Paga",0,IF(O120&gt;0,R120,S120)))</x:f>
        <x:v>53.38</x:v>
      </x:c>
      <x:c r="W120" s="131" t="n">
        <x:f>IF(A120="","",ROUND(MAX(D120-F120,0),2))</x:f>
        <x:v>6312.93</x:v>
      </x:c>
      <x:c r="X120" s="131" t="n">
        <x:f>IF(A120="","",ROUND(SUM($G120:$G$407),2))</x:f>
        <x:v>7673.44</x:v>
      </x:c>
      <x:c r="Y120" s="131" t="n">
        <x:f>IF(A120="","",ROUND(MAX(X120-D120,0),2))</x:f>
        <x:v>1306.48</x:v>
      </x:c>
      <x:c r="Z120" s="131" t="n">
        <x:f>IF(A120="","",ROUND(SUM($V120:$V$407),2))</x:f>
        <x:v>4402.72</x:v>
      </x:c>
      <x:c r="AA120" s="131" t="n">
        <x:f>IF(A120="","",ROUND(SUM($K120:$K$407)-Z120,2))</x:f>
        <x:v>40857.25</x:v>
      </x:c>
      <x:c r="AB120" s="77"/>
      <x:c r="AC120" s="36" t="str">
        <x:f>IF(A120="","",IF(O120&gt;0,"Vencido: saldo da fatura + mora",IF(O120&lt;=0,"Vincendo: VP da parcela financeira; comissão/proteção futuras isentas","")))</x:f>
        <x:v>Vincendo: VP da parcela financeira; comissão/proteção futuras isentas</x:v>
      </x:c>
    </x:row>
    <x:row r="121">
      <x:c r="A121" s="129" t="n">
        <x:f>IF(ROW()-7&lt;=Contrato!$C$16,ROW()-7,"")</x:f>
        <x:v>114</x:v>
      </x:c>
      <x:c r="B121" s="129" t="n">
        <x:f>IF(A121="","",Contrato!$C$16)</x:f>
        <x:v>209</x:v>
      </x:c>
      <x:c r="C121" s="130" t="n">
        <x:f>IF(A121="","",IF(AB121&lt;&gt;"",AB121,IF(Contrato!$C$14="Mensal",EDATE(Contrato!$C$13,A121-1),Contrato!$C$13+(A121-1)*IF(Contrato!$C$14="Quinzenal",14,IF(Contrato!$C$14="Semanal",7,1)))))</x:f>
        <x:v>47060</x:v>
      </x:c>
      <x:c r="D121" s="131" t="n">
        <x:f>IF(A121="","",W120)</x:f>
        <x:v>6312.93</x:v>
      </x:c>
      <x:c r="E121" s="131" t="n">
        <x:f>IF(A121="","",ROUND(D121*Simulador!$I$18,2))</x:f>
        <x:v>24.88</x:v>
      </x:c>
      <x:c r="F121" s="131" t="n">
        <x:f>IF(A121="","",ROUND(MIN(D121,MAX(G121-E121,0)),2))</x:f>
        <x:v>54.24</x:v>
      </x:c>
      <x:c r="G121" s="131" t="n">
        <x:f>IF(A121="","",IF(A121&lt;Contrato!$C$16,Contrato!$C$27,Contrato!$C$28))</x:f>
        <x:v>79.12</x:v>
      </x:c>
      <x:c r="H121" s="131" t="n">
        <x:f>IF(A121="","",Contrato!$C$29)</x:f>
        <x:v>199.99</x:v>
      </x:c>
      <x:c r="I121" s="131" t="n">
        <x:f>IF(A121="","",Contrato!$C$30)</x:f>
        <x:v>187.5</x:v>
      </x:c>
      <x:c r="J121" s="131" t="n">
        <x:f>IF(A121="","",Contrato!$C$31)</x:f>
        <x:v>0</x:v>
      </x:c>
      <x:c r="K121" s="131" t="n">
        <x:f>IF(A121="","",ROUND(SUM(G121:J121),2))</x:f>
        <x:v>466.61</x:v>
      </x:c>
      <x:c r="L121" s="80"/>
      <x:c r="M121" s="77"/>
      <x:c r="N121" s="29" t="str">
        <x:f>IF(A121="","",IF(L121&gt;=K121,"Paga",IF(L121&gt;0,"Paga parcialmente",IF(C121&lt;$A$5,"Vencida","Prevista"))))</x:f>
        <x:v>Prevista</x:v>
      </x:c>
      <x:c r="O121" s="29" t="n">
        <x:f>IF(A121="","",$A$5-C121)</x:f>
        <x:v>-800</x:v>
      </x:c>
      <x:c r="P121" s="131" t="n">
        <x:f>IF(A121="","",IF(AND(O121&gt;0,MAX(K121-L121,0)&gt;0,N121&lt;&gt;"Paga"),ROUND(MAX(K121-L121,0)*'Parâmetros'!$B$34,2),0))</x:f>
        <x:v>0</x:v>
      </x:c>
      <x:c r="Q121" s="131" t="n">
        <x:f>IF(A121="","",IF(AND(O121&gt;0,MAX(K121-L121,0)&gt;0,N121&lt;&gt;"Paga"),ROUND(MAX(K121-L121,0)*'Parâmetros'!$B$35*(O121/'Parâmetros'!$B$33),2),0))</x:f>
        <x:v>0</x:v>
      </x:c>
      <x:c r="R121" s="131" t="n">
        <x:f>IF(A121="","",IF(O121&gt;0,ROUND(MAX(K121-L121,0)+P121+Q121,2),0))</x:f>
        <x:v>0</x:v>
      </x:c>
      <x:c r="S121" s="131" t="n">
        <x:f>IF(A121="","",IF(OR(N121="Paga",O121&gt;0),0,ROUND(IF(K121=0,0,G121*MAX(K121-L121,0)/K121)/(1+'Parâmetros'!$C$13)^((C121-$A$5)/30),2)))</x:f>
        <x:v>53.19</x:v>
      </x:c>
      <x:c r="T121" s="131" t="n">
        <x:f>IF(A121="","",0)</x:f>
        <x:v>0</x:v>
      </x:c>
      <x:c r="U121" s="131" t="n">
        <x:f>IF(A121="","",0)</x:f>
        <x:v>0</x:v>
      </x:c>
      <x:c r="V121" s="131" t="n">
        <x:f>IF(A121="","",IF(N121="Paga",0,IF(O121&gt;0,R121,S121)))</x:f>
        <x:v>53.19</x:v>
      </x:c>
      <x:c r="W121" s="131" t="n">
        <x:f>IF(A121="","",ROUND(MAX(D121-F121,0),2))</x:f>
        <x:v>6258.69</x:v>
      </x:c>
      <x:c r="X121" s="131" t="n">
        <x:f>IF(A121="","",ROUND(SUM($G121:$G$407),2))</x:f>
        <x:v>7594.32</x:v>
      </x:c>
      <x:c r="Y121" s="131" t="n">
        <x:f>IF(A121="","",ROUND(MAX(X121-D121,0),2))</x:f>
        <x:v>1281.39</x:v>
      </x:c>
      <x:c r="Z121" s="131" t="n">
        <x:f>IF(A121="","",ROUND(SUM($V121:$V$407),2))</x:f>
        <x:v>4349.34</x:v>
      </x:c>
      <x:c r="AA121" s="131" t="n">
        <x:f>IF(A121="","",ROUND(SUM($K121:$K$407)-Z121,2))</x:f>
        <x:v>40444.02</x:v>
      </x:c>
      <x:c r="AB121" s="77"/>
      <x:c r="AC121" s="36" t="str">
        <x:f>IF(A121="","",IF(O121&gt;0,"Vencido: saldo da fatura + mora",IF(O121&lt;=0,"Vincendo: VP da parcela financeira; comissão/proteção futuras isentas","")))</x:f>
        <x:v>Vincendo: VP da parcela financeira; comissão/proteção futuras isentas</x:v>
      </x:c>
    </x:row>
    <x:row r="122">
      <x:c r="A122" s="129" t="n">
        <x:f>IF(ROW()-7&lt;=Contrato!$C$16,ROW()-7,"")</x:f>
        <x:v>115</x:v>
      </x:c>
      <x:c r="B122" s="129" t="n">
        <x:f>IF(A122="","",Contrato!$C$16)</x:f>
        <x:v>209</x:v>
      </x:c>
      <x:c r="C122" s="130" t="n">
        <x:f>IF(A122="","",IF(AB122&lt;&gt;"",AB122,IF(Contrato!$C$14="Mensal",EDATE(Contrato!$C$13,A122-1),Contrato!$C$13+(A122-1)*IF(Contrato!$C$14="Quinzenal",14,IF(Contrato!$C$14="Semanal",7,1)))))</x:f>
        <x:v>47067</x:v>
      </x:c>
      <x:c r="D122" s="131" t="n">
        <x:f>IF(A122="","",W121)</x:f>
        <x:v>6258.69</x:v>
      </x:c>
      <x:c r="E122" s="131" t="n">
        <x:f>IF(A122="","",ROUND(D122*Simulador!$I$18,2))</x:f>
        <x:v>24.67</x:v>
      </x:c>
      <x:c r="F122" s="131" t="n">
        <x:f>IF(A122="","",ROUND(MIN(D122,MAX(G122-E122,0)),2))</x:f>
        <x:v>54.45</x:v>
      </x:c>
      <x:c r="G122" s="131" t="n">
        <x:f>IF(A122="","",IF(A122&lt;Contrato!$C$16,Contrato!$C$27,Contrato!$C$28))</x:f>
        <x:v>79.12</x:v>
      </x:c>
      <x:c r="H122" s="131" t="n">
        <x:f>IF(A122="","",Contrato!$C$29)</x:f>
        <x:v>199.99</x:v>
      </x:c>
      <x:c r="I122" s="131" t="n">
        <x:f>IF(A122="","",Contrato!$C$30)</x:f>
        <x:v>187.5</x:v>
      </x:c>
      <x:c r="J122" s="131" t="n">
        <x:f>IF(A122="","",Contrato!$C$31)</x:f>
        <x:v>0</x:v>
      </x:c>
      <x:c r="K122" s="131" t="n">
        <x:f>IF(A122="","",ROUND(SUM(G122:J122),2))</x:f>
        <x:v>466.61</x:v>
      </x:c>
      <x:c r="L122" s="80"/>
      <x:c r="M122" s="77"/>
      <x:c r="N122" s="29" t="str">
        <x:f>IF(A122="","",IF(L122&gt;=K122,"Paga",IF(L122&gt;0,"Paga parcialmente",IF(C122&lt;$A$5,"Vencida","Prevista"))))</x:f>
        <x:v>Prevista</x:v>
      </x:c>
      <x:c r="O122" s="29" t="n">
        <x:f>IF(A122="","",$A$5-C122)</x:f>
        <x:v>-807</x:v>
      </x:c>
      <x:c r="P122" s="131" t="n">
        <x:f>IF(A122="","",IF(AND(O122&gt;0,MAX(K122-L122,0)&gt;0,N122&lt;&gt;"Paga"),ROUND(MAX(K122-L122,0)*'Parâmetros'!$B$34,2),0))</x:f>
        <x:v>0</x:v>
      </x:c>
      <x:c r="Q122" s="131" t="n">
        <x:f>IF(A122="","",IF(AND(O122&gt;0,MAX(K122-L122,0)&gt;0,N122&lt;&gt;"Paga"),ROUND(MAX(K122-L122,0)*'Parâmetros'!$B$35*(O122/'Parâmetros'!$B$33),2),0))</x:f>
        <x:v>0</x:v>
      </x:c>
      <x:c r="R122" s="131" t="n">
        <x:f>IF(A122="","",IF(O122&gt;0,ROUND(MAX(K122-L122,0)+P122+Q122,2),0))</x:f>
        <x:v>0</x:v>
      </x:c>
      <x:c r="S122" s="131" t="n">
        <x:f>IF(A122="","",IF(OR(N122="Paga",O122&gt;0),0,ROUND(IF(K122=0,0,G122*MAX(K122-L122,0)/K122)/(1+'Parâmetros'!$C$13)^((C122-$A$5)/30),2)))</x:f>
        <x:v>53.01</x:v>
      </x:c>
      <x:c r="T122" s="131" t="n">
        <x:f>IF(A122="","",0)</x:f>
        <x:v>0</x:v>
      </x:c>
      <x:c r="U122" s="131" t="n">
        <x:f>IF(A122="","",0)</x:f>
        <x:v>0</x:v>
      </x:c>
      <x:c r="V122" s="131" t="n">
        <x:f>IF(A122="","",IF(N122="Paga",0,IF(O122&gt;0,R122,S122)))</x:f>
        <x:v>53.01</x:v>
      </x:c>
      <x:c r="W122" s="131" t="n">
        <x:f>IF(A122="","",ROUND(MAX(D122-F122,0),2))</x:f>
        <x:v>6204.24</x:v>
      </x:c>
      <x:c r="X122" s="131" t="n">
        <x:f>IF(A122="","",ROUND(SUM($G122:$G$407),2))</x:f>
        <x:v>7515.2</x:v>
      </x:c>
      <x:c r="Y122" s="131" t="n">
        <x:f>IF(A122="","",ROUND(MAX(X122-D122,0),2))</x:f>
        <x:v>1256.51</x:v>
      </x:c>
      <x:c r="Z122" s="131" t="n">
        <x:f>IF(A122="","",ROUND(SUM($V122:$V$407),2))</x:f>
        <x:v>4296.15</x:v>
      </x:c>
      <x:c r="AA122" s="131" t="n">
        <x:f>IF(A122="","",ROUND(SUM($K122:$K$407)-Z122,2))</x:f>
        <x:v>40030.6</x:v>
      </x:c>
      <x:c r="AB122" s="77"/>
      <x:c r="AC122" s="36" t="str">
        <x:f>IF(A122="","",IF(O122&gt;0,"Vencido: saldo da fatura + mora",IF(O122&lt;=0,"Vincendo: VP da parcela financeira; comissão/proteção futuras isentas","")))</x:f>
        <x:v>Vincendo: VP da parcela financeira; comissão/proteção futuras isentas</x:v>
      </x:c>
    </x:row>
    <x:row r="123">
      <x:c r="A123" s="129" t="n">
        <x:f>IF(ROW()-7&lt;=Contrato!$C$16,ROW()-7,"")</x:f>
        <x:v>116</x:v>
      </x:c>
      <x:c r="B123" s="129" t="n">
        <x:f>IF(A123="","",Contrato!$C$16)</x:f>
        <x:v>209</x:v>
      </x:c>
      <x:c r="C123" s="130" t="n">
        <x:f>IF(A123="","",IF(AB123&lt;&gt;"",AB123,IF(Contrato!$C$14="Mensal",EDATE(Contrato!$C$13,A123-1),Contrato!$C$13+(A123-1)*IF(Contrato!$C$14="Quinzenal",14,IF(Contrato!$C$14="Semanal",7,1)))))</x:f>
        <x:v>47074</x:v>
      </x:c>
      <x:c r="D123" s="131" t="n">
        <x:f>IF(A123="","",W122)</x:f>
        <x:v>6204.24</x:v>
      </x:c>
      <x:c r="E123" s="131" t="n">
        <x:f>IF(A123="","",ROUND(D123*Simulador!$I$18,2))</x:f>
        <x:v>24.45</x:v>
      </x:c>
      <x:c r="F123" s="131" t="n">
        <x:f>IF(A123="","",ROUND(MIN(D123,MAX(G123-E123,0)),2))</x:f>
        <x:v>54.67</x:v>
      </x:c>
      <x:c r="G123" s="131" t="n">
        <x:f>IF(A123="","",IF(A123&lt;Contrato!$C$16,Contrato!$C$27,Contrato!$C$28))</x:f>
        <x:v>79.12</x:v>
      </x:c>
      <x:c r="H123" s="131" t="n">
        <x:f>IF(A123="","",Contrato!$C$29)</x:f>
        <x:v>199.99</x:v>
      </x:c>
      <x:c r="I123" s="131" t="n">
        <x:f>IF(A123="","",Contrato!$C$30)</x:f>
        <x:v>187.5</x:v>
      </x:c>
      <x:c r="J123" s="131" t="n">
        <x:f>IF(A123="","",Contrato!$C$31)</x:f>
        <x:v>0</x:v>
      </x:c>
      <x:c r="K123" s="131" t="n">
        <x:f>IF(A123="","",ROUND(SUM(G123:J123),2))</x:f>
        <x:v>466.61</x:v>
      </x:c>
      <x:c r="L123" s="80"/>
      <x:c r="M123" s="77"/>
      <x:c r="N123" s="29" t="str">
        <x:f>IF(A123="","",IF(L123&gt;=K123,"Paga",IF(L123&gt;0,"Paga parcialmente",IF(C123&lt;$A$5,"Vencida","Prevista"))))</x:f>
        <x:v>Prevista</x:v>
      </x:c>
      <x:c r="O123" s="29" t="n">
        <x:f>IF(A123="","",$A$5-C123)</x:f>
        <x:v>-814</x:v>
      </x:c>
      <x:c r="P123" s="131" t="n">
        <x:f>IF(A123="","",IF(AND(O123&gt;0,MAX(K123-L123,0)&gt;0,N123&lt;&gt;"Paga"),ROUND(MAX(K123-L123,0)*'Parâmetros'!$B$34,2),0))</x:f>
        <x:v>0</x:v>
      </x:c>
      <x:c r="Q123" s="131" t="n">
        <x:f>IF(A123="","",IF(AND(O123&gt;0,MAX(K123-L123,0)&gt;0,N123&lt;&gt;"Paga"),ROUND(MAX(K123-L123,0)*'Parâmetros'!$B$35*(O123/'Parâmetros'!$B$33),2),0))</x:f>
        <x:v>0</x:v>
      </x:c>
      <x:c r="R123" s="131" t="n">
        <x:f>IF(A123="","",IF(O123&gt;0,ROUND(MAX(K123-L123,0)+P123+Q123,2),0))</x:f>
        <x:v>0</x:v>
      </x:c>
      <x:c r="S123" s="131" t="n">
        <x:f>IF(A123="","",IF(OR(N123="Paga",O123&gt;0),0,ROUND(IF(K123=0,0,G123*MAX(K123-L123,0)/K123)/(1+'Parâmetros'!$C$13)^((C123-$A$5)/30),2)))</x:f>
        <x:v>52.83</x:v>
      </x:c>
      <x:c r="T123" s="131" t="n">
        <x:f>IF(A123="","",0)</x:f>
        <x:v>0</x:v>
      </x:c>
      <x:c r="U123" s="131" t="n">
        <x:f>IF(A123="","",0)</x:f>
        <x:v>0</x:v>
      </x:c>
      <x:c r="V123" s="131" t="n">
        <x:f>IF(A123="","",IF(N123="Paga",0,IF(O123&gt;0,R123,S123)))</x:f>
        <x:v>52.83</x:v>
      </x:c>
      <x:c r="W123" s="131" t="n">
        <x:f>IF(A123="","",ROUND(MAX(D123-F123,0),2))</x:f>
        <x:v>6149.57</x:v>
      </x:c>
      <x:c r="X123" s="131" t="n">
        <x:f>IF(A123="","",ROUND(SUM($G123:$G$407),2))</x:f>
        <x:v>7436.08</x:v>
      </x:c>
      <x:c r="Y123" s="131" t="n">
        <x:f>IF(A123="","",ROUND(MAX(X123-D123,0),2))</x:f>
        <x:v>1231.84</x:v>
      </x:c>
      <x:c r="Z123" s="131" t="n">
        <x:f>IF(A123="","",ROUND(SUM($V123:$V$407),2))</x:f>
        <x:v>4243.14</x:v>
      </x:c>
      <x:c r="AA123" s="131" t="n">
        <x:f>IF(A123="","",ROUND(SUM($K123:$K$407)-Z123,2))</x:f>
        <x:v>39617</x:v>
      </x:c>
      <x:c r="AB123" s="77"/>
      <x:c r="AC123" s="36" t="str">
        <x:f>IF(A123="","",IF(O123&gt;0,"Vencido: saldo da fatura + mora",IF(O123&lt;=0,"Vincendo: VP da parcela financeira; comissão/proteção futuras isentas","")))</x:f>
        <x:v>Vincendo: VP da parcela financeira; comissão/proteção futuras isentas</x:v>
      </x:c>
    </x:row>
    <x:row r="124">
      <x:c r="A124" s="129" t="n">
        <x:f>IF(ROW()-7&lt;=Contrato!$C$16,ROW()-7,"")</x:f>
        <x:v>117</x:v>
      </x:c>
      <x:c r="B124" s="129" t="n">
        <x:f>IF(A124="","",Contrato!$C$16)</x:f>
        <x:v>209</x:v>
      </x:c>
      <x:c r="C124" s="130" t="n">
        <x:f>IF(A124="","",IF(AB124&lt;&gt;"",AB124,IF(Contrato!$C$14="Mensal",EDATE(Contrato!$C$13,A124-1),Contrato!$C$13+(A124-1)*IF(Contrato!$C$14="Quinzenal",14,IF(Contrato!$C$14="Semanal",7,1)))))</x:f>
        <x:v>47081</x:v>
      </x:c>
      <x:c r="D124" s="131" t="n">
        <x:f>IF(A124="","",W123)</x:f>
        <x:v>6149.57</x:v>
      </x:c>
      <x:c r="E124" s="131" t="n">
        <x:f>IF(A124="","",ROUND(D124*Simulador!$I$18,2))</x:f>
        <x:v>24.24</x:v>
      </x:c>
      <x:c r="F124" s="131" t="n">
        <x:f>IF(A124="","",ROUND(MIN(D124,MAX(G124-E124,0)),2))</x:f>
        <x:v>54.88</x:v>
      </x:c>
      <x:c r="G124" s="131" t="n">
        <x:f>IF(A124="","",IF(A124&lt;Contrato!$C$16,Contrato!$C$27,Contrato!$C$28))</x:f>
        <x:v>79.12</x:v>
      </x:c>
      <x:c r="H124" s="131" t="n">
        <x:f>IF(A124="","",Contrato!$C$29)</x:f>
        <x:v>199.99</x:v>
      </x:c>
      <x:c r="I124" s="131" t="n">
        <x:f>IF(A124="","",Contrato!$C$30)</x:f>
        <x:v>187.5</x:v>
      </x:c>
      <x:c r="J124" s="131" t="n">
        <x:f>IF(A124="","",Contrato!$C$31)</x:f>
        <x:v>0</x:v>
      </x:c>
      <x:c r="K124" s="131" t="n">
        <x:f>IF(A124="","",ROUND(SUM(G124:J124),2))</x:f>
        <x:v>466.61</x:v>
      </x:c>
      <x:c r="L124" s="80"/>
      <x:c r="M124" s="77"/>
      <x:c r="N124" s="29" t="str">
        <x:f>IF(A124="","",IF(L124&gt;=K124,"Paga",IF(L124&gt;0,"Paga parcialmente",IF(C124&lt;$A$5,"Vencida","Prevista"))))</x:f>
        <x:v>Prevista</x:v>
      </x:c>
      <x:c r="O124" s="29" t="n">
        <x:f>IF(A124="","",$A$5-C124)</x:f>
        <x:v>-821</x:v>
      </x:c>
      <x:c r="P124" s="131" t="n">
        <x:f>IF(A124="","",IF(AND(O124&gt;0,MAX(K124-L124,0)&gt;0,N124&lt;&gt;"Paga"),ROUND(MAX(K124-L124,0)*'Parâmetros'!$B$34,2),0))</x:f>
        <x:v>0</x:v>
      </x:c>
      <x:c r="Q124" s="131" t="n">
        <x:f>IF(A124="","",IF(AND(O124&gt;0,MAX(K124-L124,0)&gt;0,N124&lt;&gt;"Paga"),ROUND(MAX(K124-L124,0)*'Parâmetros'!$B$35*(O124/'Parâmetros'!$B$33),2),0))</x:f>
        <x:v>0</x:v>
      </x:c>
      <x:c r="R124" s="131" t="n">
        <x:f>IF(A124="","",IF(O124&gt;0,ROUND(MAX(K124-L124,0)+P124+Q124,2),0))</x:f>
        <x:v>0</x:v>
      </x:c>
      <x:c r="S124" s="131" t="n">
        <x:f>IF(A124="","",IF(OR(N124="Paga",O124&gt;0),0,ROUND(IF(K124=0,0,G124*MAX(K124-L124,0)/K124)/(1+'Parâmetros'!$C$13)^((C124-$A$5)/30),2)))</x:f>
        <x:v>52.64</x:v>
      </x:c>
      <x:c r="T124" s="131" t="n">
        <x:f>IF(A124="","",0)</x:f>
        <x:v>0</x:v>
      </x:c>
      <x:c r="U124" s="131" t="n">
        <x:f>IF(A124="","",0)</x:f>
        <x:v>0</x:v>
      </x:c>
      <x:c r="V124" s="131" t="n">
        <x:f>IF(A124="","",IF(N124="Paga",0,IF(O124&gt;0,R124,S124)))</x:f>
        <x:v>52.64</x:v>
      </x:c>
      <x:c r="W124" s="131" t="n">
        <x:f>IF(A124="","",ROUND(MAX(D124-F124,0),2))</x:f>
        <x:v>6094.69</x:v>
      </x:c>
      <x:c r="X124" s="131" t="n">
        <x:f>IF(A124="","",ROUND(SUM($G124:$G$407),2))</x:f>
        <x:v>7356.96</x:v>
      </x:c>
      <x:c r="Y124" s="131" t="n">
        <x:f>IF(A124="","",ROUND(MAX(X124-D124,0),2))</x:f>
        <x:v>1207.39</x:v>
      </x:c>
      <x:c r="Z124" s="131" t="n">
        <x:f>IF(A124="","",ROUND(SUM($V124:$V$407),2))</x:f>
        <x:v>4190.31</x:v>
      </x:c>
      <x:c r="AA124" s="131" t="n">
        <x:f>IF(A124="","",ROUND(SUM($K124:$K$407)-Z124,2))</x:f>
        <x:v>39203.22</x:v>
      </x:c>
      <x:c r="AB124" s="77"/>
      <x:c r="AC124" s="36" t="str">
        <x:f>IF(A124="","",IF(O124&gt;0,"Vencido: saldo da fatura + mora",IF(O124&lt;=0,"Vincendo: VP da parcela financeira; comissão/proteção futuras isentas","")))</x:f>
        <x:v>Vincendo: VP da parcela financeira; comissão/proteção futuras isentas</x:v>
      </x:c>
    </x:row>
    <x:row r="125">
      <x:c r="A125" s="129" t="n">
        <x:f>IF(ROW()-7&lt;=Contrato!$C$16,ROW()-7,"")</x:f>
        <x:v>118</x:v>
      </x:c>
      <x:c r="B125" s="129" t="n">
        <x:f>IF(A125="","",Contrato!$C$16)</x:f>
        <x:v>209</x:v>
      </x:c>
      <x:c r="C125" s="130" t="n">
        <x:f>IF(A125="","",IF(AB125&lt;&gt;"",AB125,IF(Contrato!$C$14="Mensal",EDATE(Contrato!$C$13,A125-1),Contrato!$C$13+(A125-1)*IF(Contrato!$C$14="Quinzenal",14,IF(Contrato!$C$14="Semanal",7,1)))))</x:f>
        <x:v>47088</x:v>
      </x:c>
      <x:c r="D125" s="131" t="n">
        <x:f>IF(A125="","",W124)</x:f>
        <x:v>6094.69</x:v>
      </x:c>
      <x:c r="E125" s="131" t="n">
        <x:f>IF(A125="","",ROUND(D125*Simulador!$I$18,2))</x:f>
        <x:v>24.02</x:v>
      </x:c>
      <x:c r="F125" s="131" t="n">
        <x:f>IF(A125="","",ROUND(MIN(D125,MAX(G125-E125,0)),2))</x:f>
        <x:v>55.1</x:v>
      </x:c>
      <x:c r="G125" s="131" t="n">
        <x:f>IF(A125="","",IF(A125&lt;Contrato!$C$16,Contrato!$C$27,Contrato!$C$28))</x:f>
        <x:v>79.12</x:v>
      </x:c>
      <x:c r="H125" s="131" t="n">
        <x:f>IF(A125="","",Contrato!$C$29)</x:f>
        <x:v>199.99</x:v>
      </x:c>
      <x:c r="I125" s="131" t="n">
        <x:f>IF(A125="","",Contrato!$C$30)</x:f>
        <x:v>187.5</x:v>
      </x:c>
      <x:c r="J125" s="131" t="n">
        <x:f>IF(A125="","",Contrato!$C$31)</x:f>
        <x:v>0</x:v>
      </x:c>
      <x:c r="K125" s="131" t="n">
        <x:f>IF(A125="","",ROUND(SUM(G125:J125),2))</x:f>
        <x:v>466.61</x:v>
      </x:c>
      <x:c r="L125" s="80"/>
      <x:c r="M125" s="77"/>
      <x:c r="N125" s="29" t="str">
        <x:f>IF(A125="","",IF(L125&gt;=K125,"Paga",IF(L125&gt;0,"Paga parcialmente",IF(C125&lt;$A$5,"Vencida","Prevista"))))</x:f>
        <x:v>Prevista</x:v>
      </x:c>
      <x:c r="O125" s="29" t="n">
        <x:f>IF(A125="","",$A$5-C125)</x:f>
        <x:v>-828</x:v>
      </x:c>
      <x:c r="P125" s="131" t="n">
        <x:f>IF(A125="","",IF(AND(O125&gt;0,MAX(K125-L125,0)&gt;0,N125&lt;&gt;"Paga"),ROUND(MAX(K125-L125,0)*'Parâmetros'!$B$34,2),0))</x:f>
        <x:v>0</x:v>
      </x:c>
      <x:c r="Q125" s="131" t="n">
        <x:f>IF(A125="","",IF(AND(O125&gt;0,MAX(K125-L125,0)&gt;0,N125&lt;&gt;"Paga"),ROUND(MAX(K125-L125,0)*'Parâmetros'!$B$35*(O125/'Parâmetros'!$B$33),2),0))</x:f>
        <x:v>0</x:v>
      </x:c>
      <x:c r="R125" s="131" t="n">
        <x:f>IF(A125="","",IF(O125&gt;0,ROUND(MAX(K125-L125,0)+P125+Q125,2),0))</x:f>
        <x:v>0</x:v>
      </x:c>
      <x:c r="S125" s="131" t="n">
        <x:f>IF(A125="","",IF(OR(N125="Paga",O125&gt;0),0,ROUND(IF(K125=0,0,G125*MAX(K125-L125,0)/K125)/(1+'Parâmetros'!$C$13)^((C125-$A$5)/30),2)))</x:f>
        <x:v>52.46</x:v>
      </x:c>
      <x:c r="T125" s="131" t="n">
        <x:f>IF(A125="","",0)</x:f>
        <x:v>0</x:v>
      </x:c>
      <x:c r="U125" s="131" t="n">
        <x:f>IF(A125="","",0)</x:f>
        <x:v>0</x:v>
      </x:c>
      <x:c r="V125" s="131" t="n">
        <x:f>IF(A125="","",IF(N125="Paga",0,IF(O125&gt;0,R125,S125)))</x:f>
        <x:v>52.46</x:v>
      </x:c>
      <x:c r="W125" s="131" t="n">
        <x:f>IF(A125="","",ROUND(MAX(D125-F125,0),2))</x:f>
        <x:v>6039.59</x:v>
      </x:c>
      <x:c r="X125" s="131" t="n">
        <x:f>IF(A125="","",ROUND(SUM($G125:$G$407),2))</x:f>
        <x:v>7277.84</x:v>
      </x:c>
      <x:c r="Y125" s="131" t="n">
        <x:f>IF(A125="","",ROUND(MAX(X125-D125,0),2))</x:f>
        <x:v>1183.15</x:v>
      </x:c>
      <x:c r="Z125" s="131" t="n">
        <x:f>IF(A125="","",ROUND(SUM($V125:$V$407),2))</x:f>
        <x:v>4137.67</x:v>
      </x:c>
      <x:c r="AA125" s="131" t="n">
        <x:f>IF(A125="","",ROUND(SUM($K125:$K$407)-Z125,2))</x:f>
        <x:v>38789.25</x:v>
      </x:c>
      <x:c r="AB125" s="77"/>
      <x:c r="AC125" s="36" t="str">
        <x:f>IF(A125="","",IF(O125&gt;0,"Vencido: saldo da fatura + mora",IF(O125&lt;=0,"Vincendo: VP da parcela financeira; comissão/proteção futuras isentas","")))</x:f>
        <x:v>Vincendo: VP da parcela financeira; comissão/proteção futuras isentas</x:v>
      </x:c>
    </x:row>
    <x:row r="126">
      <x:c r="A126" s="129" t="n">
        <x:f>IF(ROW()-7&lt;=Contrato!$C$16,ROW()-7,"")</x:f>
        <x:v>119</x:v>
      </x:c>
      <x:c r="B126" s="129" t="n">
        <x:f>IF(A126="","",Contrato!$C$16)</x:f>
        <x:v>209</x:v>
      </x:c>
      <x:c r="C126" s="130" t="n">
        <x:f>IF(A126="","",IF(AB126&lt;&gt;"",AB126,IF(Contrato!$C$14="Mensal",EDATE(Contrato!$C$13,A126-1),Contrato!$C$13+(A126-1)*IF(Contrato!$C$14="Quinzenal",14,IF(Contrato!$C$14="Semanal",7,1)))))</x:f>
        <x:v>47095</x:v>
      </x:c>
      <x:c r="D126" s="131" t="n">
        <x:f>IF(A126="","",W125)</x:f>
        <x:v>6039.59</x:v>
      </x:c>
      <x:c r="E126" s="131" t="n">
        <x:f>IF(A126="","",ROUND(D126*Simulador!$I$18,2))</x:f>
        <x:v>23.8</x:v>
      </x:c>
      <x:c r="F126" s="131" t="n">
        <x:f>IF(A126="","",ROUND(MIN(D126,MAX(G126-E126,0)),2))</x:f>
        <x:v>55.32</x:v>
      </x:c>
      <x:c r="G126" s="131" t="n">
        <x:f>IF(A126="","",IF(A126&lt;Contrato!$C$16,Contrato!$C$27,Contrato!$C$28))</x:f>
        <x:v>79.12</x:v>
      </x:c>
      <x:c r="H126" s="131" t="n">
        <x:f>IF(A126="","",Contrato!$C$29)</x:f>
        <x:v>199.99</x:v>
      </x:c>
      <x:c r="I126" s="131" t="n">
        <x:f>IF(A126="","",Contrato!$C$30)</x:f>
        <x:v>187.5</x:v>
      </x:c>
      <x:c r="J126" s="131" t="n">
        <x:f>IF(A126="","",Contrato!$C$31)</x:f>
        <x:v>0</x:v>
      </x:c>
      <x:c r="K126" s="131" t="n">
        <x:f>IF(A126="","",ROUND(SUM(G126:J126),2))</x:f>
        <x:v>466.61</x:v>
      </x:c>
      <x:c r="L126" s="80"/>
      <x:c r="M126" s="77"/>
      <x:c r="N126" s="29" t="str">
        <x:f>IF(A126="","",IF(L126&gt;=K126,"Paga",IF(L126&gt;0,"Paga parcialmente",IF(C126&lt;$A$5,"Vencida","Prevista"))))</x:f>
        <x:v>Prevista</x:v>
      </x:c>
      <x:c r="O126" s="29" t="n">
        <x:f>IF(A126="","",$A$5-C126)</x:f>
        <x:v>-835</x:v>
      </x:c>
      <x:c r="P126" s="131" t="n">
        <x:f>IF(A126="","",IF(AND(O126&gt;0,MAX(K126-L126,0)&gt;0,N126&lt;&gt;"Paga"),ROUND(MAX(K126-L126,0)*'Parâmetros'!$B$34,2),0))</x:f>
        <x:v>0</x:v>
      </x:c>
      <x:c r="Q126" s="131" t="n">
        <x:f>IF(A126="","",IF(AND(O126&gt;0,MAX(K126-L126,0)&gt;0,N126&lt;&gt;"Paga"),ROUND(MAX(K126-L126,0)*'Parâmetros'!$B$35*(O126/'Parâmetros'!$B$33),2),0))</x:f>
        <x:v>0</x:v>
      </x:c>
      <x:c r="R126" s="131" t="n">
        <x:f>IF(A126="","",IF(O126&gt;0,ROUND(MAX(K126-L126,0)+P126+Q126,2),0))</x:f>
        <x:v>0</x:v>
      </x:c>
      <x:c r="S126" s="131" t="n">
        <x:f>IF(A126="","",IF(OR(N126="Paga",O126&gt;0),0,ROUND(IF(K126=0,0,G126*MAX(K126-L126,0)/K126)/(1+'Parâmetros'!$C$13)^((C126-$A$5)/30),2)))</x:f>
        <x:v>52.28</x:v>
      </x:c>
      <x:c r="T126" s="131" t="n">
        <x:f>IF(A126="","",0)</x:f>
        <x:v>0</x:v>
      </x:c>
      <x:c r="U126" s="131" t="n">
        <x:f>IF(A126="","",0)</x:f>
        <x:v>0</x:v>
      </x:c>
      <x:c r="V126" s="131" t="n">
        <x:f>IF(A126="","",IF(N126="Paga",0,IF(O126&gt;0,R126,S126)))</x:f>
        <x:v>52.28</x:v>
      </x:c>
      <x:c r="W126" s="131" t="n">
        <x:f>IF(A126="","",ROUND(MAX(D126-F126,0),2))</x:f>
        <x:v>5984.27</x:v>
      </x:c>
      <x:c r="X126" s="131" t="n">
        <x:f>IF(A126="","",ROUND(SUM($G126:$G$407),2))</x:f>
        <x:v>7198.72</x:v>
      </x:c>
      <x:c r="Y126" s="131" t="n">
        <x:f>IF(A126="","",ROUND(MAX(X126-D126,0),2))</x:f>
        <x:v>1159.13</x:v>
      </x:c>
      <x:c r="Z126" s="131" t="n">
        <x:f>IF(A126="","",ROUND(SUM($V126:$V$407),2))</x:f>
        <x:v>4085.21</x:v>
      </x:c>
      <x:c r="AA126" s="131" t="n">
        <x:f>IF(A126="","",ROUND(SUM($K126:$K$407)-Z126,2))</x:f>
        <x:v>38375.1</x:v>
      </x:c>
      <x:c r="AB126" s="77"/>
      <x:c r="AC126" s="36" t="str">
        <x:f>IF(A126="","",IF(O126&gt;0,"Vencido: saldo da fatura + mora",IF(O126&lt;=0,"Vincendo: VP da parcela financeira; comissão/proteção futuras isentas","")))</x:f>
        <x:v>Vincendo: VP da parcela financeira; comissão/proteção futuras isentas</x:v>
      </x:c>
    </x:row>
    <x:row r="127">
      <x:c r="A127" s="129" t="n">
        <x:f>IF(ROW()-7&lt;=Contrato!$C$16,ROW()-7,"")</x:f>
        <x:v>120</x:v>
      </x:c>
      <x:c r="B127" s="129" t="n">
        <x:f>IF(A127="","",Contrato!$C$16)</x:f>
        <x:v>209</x:v>
      </x:c>
      <x:c r="C127" s="130" t="n">
        <x:f>IF(A127="","",IF(AB127&lt;&gt;"",AB127,IF(Contrato!$C$14="Mensal",EDATE(Contrato!$C$13,A127-1),Contrato!$C$13+(A127-1)*IF(Contrato!$C$14="Quinzenal",14,IF(Contrato!$C$14="Semanal",7,1)))))</x:f>
        <x:v>47102</x:v>
      </x:c>
      <x:c r="D127" s="131" t="n">
        <x:f>IF(A127="","",W126)</x:f>
        <x:v>5984.27</x:v>
      </x:c>
      <x:c r="E127" s="131" t="n">
        <x:f>IF(A127="","",ROUND(D127*Simulador!$I$18,2))</x:f>
        <x:v>23.58</x:v>
      </x:c>
      <x:c r="F127" s="131" t="n">
        <x:f>IF(A127="","",ROUND(MIN(D127,MAX(G127-E127,0)),2))</x:f>
        <x:v>55.54</x:v>
      </x:c>
      <x:c r="G127" s="131" t="n">
        <x:f>IF(A127="","",IF(A127&lt;Contrato!$C$16,Contrato!$C$27,Contrato!$C$28))</x:f>
        <x:v>79.12</x:v>
      </x:c>
      <x:c r="H127" s="131" t="n">
        <x:f>IF(A127="","",Contrato!$C$29)</x:f>
        <x:v>199.99</x:v>
      </x:c>
      <x:c r="I127" s="131" t="n">
        <x:f>IF(A127="","",Contrato!$C$30)</x:f>
        <x:v>187.5</x:v>
      </x:c>
      <x:c r="J127" s="131" t="n">
        <x:f>IF(A127="","",Contrato!$C$31)</x:f>
        <x:v>0</x:v>
      </x:c>
      <x:c r="K127" s="131" t="n">
        <x:f>IF(A127="","",ROUND(SUM(G127:J127),2))</x:f>
        <x:v>466.61</x:v>
      </x:c>
      <x:c r="L127" s="80"/>
      <x:c r="M127" s="77"/>
      <x:c r="N127" s="29" t="str">
        <x:f>IF(A127="","",IF(L127&gt;=K127,"Paga",IF(L127&gt;0,"Paga parcialmente",IF(C127&lt;$A$5,"Vencida","Prevista"))))</x:f>
        <x:v>Prevista</x:v>
      </x:c>
      <x:c r="O127" s="29" t="n">
        <x:f>IF(A127="","",$A$5-C127)</x:f>
        <x:v>-842</x:v>
      </x:c>
      <x:c r="P127" s="131" t="n">
        <x:f>IF(A127="","",IF(AND(O127&gt;0,MAX(K127-L127,0)&gt;0,N127&lt;&gt;"Paga"),ROUND(MAX(K127-L127,0)*'Parâmetros'!$B$34,2),0))</x:f>
        <x:v>0</x:v>
      </x:c>
      <x:c r="Q127" s="131" t="n">
        <x:f>IF(A127="","",IF(AND(O127&gt;0,MAX(K127-L127,0)&gt;0,N127&lt;&gt;"Paga"),ROUND(MAX(K127-L127,0)*'Parâmetros'!$B$35*(O127/'Parâmetros'!$B$33),2),0))</x:f>
        <x:v>0</x:v>
      </x:c>
      <x:c r="R127" s="131" t="n">
        <x:f>IF(A127="","",IF(O127&gt;0,ROUND(MAX(K127-L127,0)+P127+Q127,2),0))</x:f>
        <x:v>0</x:v>
      </x:c>
      <x:c r="S127" s="131" t="n">
        <x:f>IF(A127="","",IF(OR(N127="Paga",O127&gt;0),0,ROUND(IF(K127=0,0,G127*MAX(K127-L127,0)/K127)/(1+'Parâmetros'!$C$13)^((C127-$A$5)/30),2)))</x:f>
        <x:v>52.1</x:v>
      </x:c>
      <x:c r="T127" s="131" t="n">
        <x:f>IF(A127="","",0)</x:f>
        <x:v>0</x:v>
      </x:c>
      <x:c r="U127" s="131" t="n">
        <x:f>IF(A127="","",0)</x:f>
        <x:v>0</x:v>
      </x:c>
      <x:c r="V127" s="131" t="n">
        <x:f>IF(A127="","",IF(N127="Paga",0,IF(O127&gt;0,R127,S127)))</x:f>
        <x:v>52.1</x:v>
      </x:c>
      <x:c r="W127" s="131" t="n">
        <x:f>IF(A127="","",ROUND(MAX(D127-F127,0),2))</x:f>
        <x:v>5928.73</x:v>
      </x:c>
      <x:c r="X127" s="131" t="n">
        <x:f>IF(A127="","",ROUND(SUM($G127:$G$407),2))</x:f>
        <x:v>7119.6</x:v>
      </x:c>
      <x:c r="Y127" s="131" t="n">
        <x:f>IF(A127="","",ROUND(MAX(X127-D127,0),2))</x:f>
        <x:v>1135.33</x:v>
      </x:c>
      <x:c r="Z127" s="131" t="n">
        <x:f>IF(A127="","",ROUND(SUM($V127:$V$407),2))</x:f>
        <x:v>4032.93</x:v>
      </x:c>
      <x:c r="AA127" s="131" t="n">
        <x:f>IF(A127="","",ROUND(SUM($K127:$K$407)-Z127,2))</x:f>
        <x:v>37960.77</x:v>
      </x:c>
      <x:c r="AB127" s="77"/>
      <x:c r="AC127" s="36" t="str">
        <x:f>IF(A127="","",IF(O127&gt;0,"Vencido: saldo da fatura + mora",IF(O127&lt;=0,"Vincendo: VP da parcela financeira; comissão/proteção futuras isentas","")))</x:f>
        <x:v>Vincendo: VP da parcela financeira; comissão/proteção futuras isentas</x:v>
      </x:c>
    </x:row>
    <x:row r="128">
      <x:c r="A128" s="129" t="n">
        <x:f>IF(ROW()-7&lt;=Contrato!$C$16,ROW()-7,"")</x:f>
        <x:v>121</x:v>
      </x:c>
      <x:c r="B128" s="129" t="n">
        <x:f>IF(A128="","",Contrato!$C$16)</x:f>
        <x:v>209</x:v>
      </x:c>
      <x:c r="C128" s="130" t="n">
        <x:f>IF(A128="","",IF(AB128&lt;&gt;"",AB128,IF(Contrato!$C$14="Mensal",EDATE(Contrato!$C$13,A128-1),Contrato!$C$13+(A128-1)*IF(Contrato!$C$14="Quinzenal",14,IF(Contrato!$C$14="Semanal",7,1)))))</x:f>
        <x:v>47109</x:v>
      </x:c>
      <x:c r="D128" s="131" t="n">
        <x:f>IF(A128="","",W127)</x:f>
        <x:v>5928.73</x:v>
      </x:c>
      <x:c r="E128" s="131" t="n">
        <x:f>IF(A128="","",ROUND(D128*Simulador!$I$18,2))</x:f>
        <x:v>23.37</x:v>
      </x:c>
      <x:c r="F128" s="131" t="n">
        <x:f>IF(A128="","",ROUND(MIN(D128,MAX(G128-E128,0)),2))</x:f>
        <x:v>55.75</x:v>
      </x:c>
      <x:c r="G128" s="131" t="n">
        <x:f>IF(A128="","",IF(A128&lt;Contrato!$C$16,Contrato!$C$27,Contrato!$C$28))</x:f>
        <x:v>79.12</x:v>
      </x:c>
      <x:c r="H128" s="131" t="n">
        <x:f>IF(A128="","",Contrato!$C$29)</x:f>
        <x:v>199.99</x:v>
      </x:c>
      <x:c r="I128" s="131" t="n">
        <x:f>IF(A128="","",Contrato!$C$30)</x:f>
        <x:v>187.5</x:v>
      </x:c>
      <x:c r="J128" s="131" t="n">
        <x:f>IF(A128="","",Contrato!$C$31)</x:f>
        <x:v>0</x:v>
      </x:c>
      <x:c r="K128" s="131" t="n">
        <x:f>IF(A128="","",ROUND(SUM(G128:J128),2))</x:f>
        <x:v>466.61</x:v>
      </x:c>
      <x:c r="L128" s="80"/>
      <x:c r="M128" s="77"/>
      <x:c r="N128" s="29" t="str">
        <x:f>IF(A128="","",IF(L128&gt;=K128,"Paga",IF(L128&gt;0,"Paga parcialmente",IF(C128&lt;$A$5,"Vencida","Prevista"))))</x:f>
        <x:v>Prevista</x:v>
      </x:c>
      <x:c r="O128" s="29" t="n">
        <x:f>IF(A128="","",$A$5-C128)</x:f>
        <x:v>-849</x:v>
      </x:c>
      <x:c r="P128" s="131" t="n">
        <x:f>IF(A128="","",IF(AND(O128&gt;0,MAX(K128-L128,0)&gt;0,N128&lt;&gt;"Paga"),ROUND(MAX(K128-L128,0)*'Parâmetros'!$B$34,2),0))</x:f>
        <x:v>0</x:v>
      </x:c>
      <x:c r="Q128" s="131" t="n">
        <x:f>IF(A128="","",IF(AND(O128&gt;0,MAX(K128-L128,0)&gt;0,N128&lt;&gt;"Paga"),ROUND(MAX(K128-L128,0)*'Parâmetros'!$B$35*(O128/'Parâmetros'!$B$33),2),0))</x:f>
        <x:v>0</x:v>
      </x:c>
      <x:c r="R128" s="131" t="n">
        <x:f>IF(A128="","",IF(O128&gt;0,ROUND(MAX(K128-L128,0)+P128+Q128,2),0))</x:f>
        <x:v>0</x:v>
      </x:c>
      <x:c r="S128" s="131" t="n">
        <x:f>IF(A128="","",IF(OR(N128="Paga",O128&gt;0),0,ROUND(IF(K128=0,0,G128*MAX(K128-L128,0)/K128)/(1+'Parâmetros'!$C$13)^((C128-$A$5)/30),2)))</x:f>
        <x:v>51.92</x:v>
      </x:c>
      <x:c r="T128" s="131" t="n">
        <x:f>IF(A128="","",0)</x:f>
        <x:v>0</x:v>
      </x:c>
      <x:c r="U128" s="131" t="n">
        <x:f>IF(A128="","",0)</x:f>
        <x:v>0</x:v>
      </x:c>
      <x:c r="V128" s="131" t="n">
        <x:f>IF(A128="","",IF(N128="Paga",0,IF(O128&gt;0,R128,S128)))</x:f>
        <x:v>51.92</x:v>
      </x:c>
      <x:c r="W128" s="131" t="n">
        <x:f>IF(A128="","",ROUND(MAX(D128-F128,0),2))</x:f>
        <x:v>5872.98</x:v>
      </x:c>
      <x:c r="X128" s="131" t="n">
        <x:f>IF(A128="","",ROUND(SUM($G128:$G$407),2))</x:f>
        <x:v>7040.48</x:v>
      </x:c>
      <x:c r="Y128" s="131" t="n">
        <x:f>IF(A128="","",ROUND(MAX(X128-D128,0),2))</x:f>
        <x:v>1111.75</x:v>
      </x:c>
      <x:c r="Z128" s="131" t="n">
        <x:f>IF(A128="","",ROUND(SUM($V128:$V$407),2))</x:f>
        <x:v>3980.83</x:v>
      </x:c>
      <x:c r="AA128" s="131" t="n">
        <x:f>IF(A128="","",ROUND(SUM($K128:$K$407)-Z128,2))</x:f>
        <x:v>37546.26</x:v>
      </x:c>
      <x:c r="AB128" s="77"/>
      <x:c r="AC128" s="36" t="str">
        <x:f>IF(A128="","",IF(O128&gt;0,"Vencido: saldo da fatura + mora",IF(O128&lt;=0,"Vincendo: VP da parcela financeira; comissão/proteção futuras isentas","")))</x:f>
        <x:v>Vincendo: VP da parcela financeira; comissão/proteção futuras isentas</x:v>
      </x:c>
    </x:row>
    <x:row r="129">
      <x:c r="A129" s="129" t="n">
        <x:f>IF(ROW()-7&lt;=Contrato!$C$16,ROW()-7,"")</x:f>
        <x:v>122</x:v>
      </x:c>
      <x:c r="B129" s="129" t="n">
        <x:f>IF(A129="","",Contrato!$C$16)</x:f>
        <x:v>209</x:v>
      </x:c>
      <x:c r="C129" s="130" t="n">
        <x:f>IF(A129="","",IF(AB129&lt;&gt;"",AB129,IF(Contrato!$C$14="Mensal",EDATE(Contrato!$C$13,A129-1),Contrato!$C$13+(A129-1)*IF(Contrato!$C$14="Quinzenal",14,IF(Contrato!$C$14="Semanal",7,1)))))</x:f>
        <x:v>47116</x:v>
      </x:c>
      <x:c r="D129" s="131" t="n">
        <x:f>IF(A129="","",W128)</x:f>
        <x:v>5872.98</x:v>
      </x:c>
      <x:c r="E129" s="131" t="n">
        <x:f>IF(A129="","",ROUND(D129*Simulador!$I$18,2))</x:f>
        <x:v>23.15</x:v>
      </x:c>
      <x:c r="F129" s="131" t="n">
        <x:f>IF(A129="","",ROUND(MIN(D129,MAX(G129-E129,0)),2))</x:f>
        <x:v>55.97</x:v>
      </x:c>
      <x:c r="G129" s="131" t="n">
        <x:f>IF(A129="","",IF(A129&lt;Contrato!$C$16,Contrato!$C$27,Contrato!$C$28))</x:f>
        <x:v>79.12</x:v>
      </x:c>
      <x:c r="H129" s="131" t="n">
        <x:f>IF(A129="","",Contrato!$C$29)</x:f>
        <x:v>199.99</x:v>
      </x:c>
      <x:c r="I129" s="131" t="n">
        <x:f>IF(A129="","",Contrato!$C$30)</x:f>
        <x:v>187.5</x:v>
      </x:c>
      <x:c r="J129" s="131" t="n">
        <x:f>IF(A129="","",Contrato!$C$31)</x:f>
        <x:v>0</x:v>
      </x:c>
      <x:c r="K129" s="131" t="n">
        <x:f>IF(A129="","",ROUND(SUM(G129:J129),2))</x:f>
        <x:v>466.61</x:v>
      </x:c>
      <x:c r="L129" s="80"/>
      <x:c r="M129" s="77"/>
      <x:c r="N129" s="29" t="str">
        <x:f>IF(A129="","",IF(L129&gt;=K129,"Paga",IF(L129&gt;0,"Paga parcialmente",IF(C129&lt;$A$5,"Vencida","Prevista"))))</x:f>
        <x:v>Prevista</x:v>
      </x:c>
      <x:c r="O129" s="29" t="n">
        <x:f>IF(A129="","",$A$5-C129)</x:f>
        <x:v>-856</x:v>
      </x:c>
      <x:c r="P129" s="131" t="n">
        <x:f>IF(A129="","",IF(AND(O129&gt;0,MAX(K129-L129,0)&gt;0,N129&lt;&gt;"Paga"),ROUND(MAX(K129-L129,0)*'Parâmetros'!$B$34,2),0))</x:f>
        <x:v>0</x:v>
      </x:c>
      <x:c r="Q129" s="131" t="n">
        <x:f>IF(A129="","",IF(AND(O129&gt;0,MAX(K129-L129,0)&gt;0,N129&lt;&gt;"Paga"),ROUND(MAX(K129-L129,0)*'Parâmetros'!$B$35*(O129/'Parâmetros'!$B$33),2),0))</x:f>
        <x:v>0</x:v>
      </x:c>
      <x:c r="R129" s="131" t="n">
        <x:f>IF(A129="","",IF(O129&gt;0,ROUND(MAX(K129-L129,0)+P129+Q129,2),0))</x:f>
        <x:v>0</x:v>
      </x:c>
      <x:c r="S129" s="131" t="n">
        <x:f>IF(A129="","",IF(OR(N129="Paga",O129&gt;0),0,ROUND(IF(K129=0,0,G129*MAX(K129-L129,0)/K129)/(1+'Parâmetros'!$C$13)^((C129-$A$5)/30),2)))</x:f>
        <x:v>51.74</x:v>
      </x:c>
      <x:c r="T129" s="131" t="n">
        <x:f>IF(A129="","",0)</x:f>
        <x:v>0</x:v>
      </x:c>
      <x:c r="U129" s="131" t="n">
        <x:f>IF(A129="","",0)</x:f>
        <x:v>0</x:v>
      </x:c>
      <x:c r="V129" s="131" t="n">
        <x:f>IF(A129="","",IF(N129="Paga",0,IF(O129&gt;0,R129,S129)))</x:f>
        <x:v>51.74</x:v>
      </x:c>
      <x:c r="W129" s="131" t="n">
        <x:f>IF(A129="","",ROUND(MAX(D129-F129,0),2))</x:f>
        <x:v>5817.01</x:v>
      </x:c>
      <x:c r="X129" s="131" t="n">
        <x:f>IF(A129="","",ROUND(SUM($G129:$G$407),2))</x:f>
        <x:v>6961.36</x:v>
      </x:c>
      <x:c r="Y129" s="131" t="n">
        <x:f>IF(A129="","",ROUND(MAX(X129-D129,0),2))</x:f>
        <x:v>1088.38</x:v>
      </x:c>
      <x:c r="Z129" s="131" t="n">
        <x:f>IF(A129="","",ROUND(SUM($V129:$V$407),2))</x:f>
        <x:v>3928.91</x:v>
      </x:c>
      <x:c r="AA129" s="131" t="n">
        <x:f>IF(A129="","",ROUND(SUM($K129:$K$407)-Z129,2))</x:f>
        <x:v>37131.57</x:v>
      </x:c>
      <x:c r="AB129" s="77"/>
      <x:c r="AC129" s="36" t="str">
        <x:f>IF(A129="","",IF(O129&gt;0,"Vencido: saldo da fatura + mora",IF(O129&lt;=0,"Vincendo: VP da parcela financeira; comissão/proteção futuras isentas","")))</x:f>
        <x:v>Vincendo: VP da parcela financeira; comissão/proteção futuras isentas</x:v>
      </x:c>
    </x:row>
    <x:row r="130">
      <x:c r="A130" s="129" t="n">
        <x:f>IF(ROW()-7&lt;=Contrato!$C$16,ROW()-7,"")</x:f>
        <x:v>123</x:v>
      </x:c>
      <x:c r="B130" s="129" t="n">
        <x:f>IF(A130="","",Contrato!$C$16)</x:f>
        <x:v>209</x:v>
      </x:c>
      <x:c r="C130" s="130" t="n">
        <x:f>IF(A130="","",IF(AB130&lt;&gt;"",AB130,IF(Contrato!$C$14="Mensal",EDATE(Contrato!$C$13,A130-1),Contrato!$C$13+(A130-1)*IF(Contrato!$C$14="Quinzenal",14,IF(Contrato!$C$14="Semanal",7,1)))))</x:f>
        <x:v>47123</x:v>
      </x:c>
      <x:c r="D130" s="131" t="n">
        <x:f>IF(A130="","",W129)</x:f>
        <x:v>5817.01</x:v>
      </x:c>
      <x:c r="E130" s="131" t="n">
        <x:f>IF(A130="","",ROUND(D130*Simulador!$I$18,2))</x:f>
        <x:v>22.93</x:v>
      </x:c>
      <x:c r="F130" s="131" t="n">
        <x:f>IF(A130="","",ROUND(MIN(D130,MAX(G130-E130,0)),2))</x:f>
        <x:v>56.19</x:v>
      </x:c>
      <x:c r="G130" s="131" t="n">
        <x:f>IF(A130="","",IF(A130&lt;Contrato!$C$16,Contrato!$C$27,Contrato!$C$28))</x:f>
        <x:v>79.12</x:v>
      </x:c>
      <x:c r="H130" s="131" t="n">
        <x:f>IF(A130="","",Contrato!$C$29)</x:f>
        <x:v>199.99</x:v>
      </x:c>
      <x:c r="I130" s="131" t="n">
        <x:f>IF(A130="","",Contrato!$C$30)</x:f>
        <x:v>187.5</x:v>
      </x:c>
      <x:c r="J130" s="131" t="n">
        <x:f>IF(A130="","",Contrato!$C$31)</x:f>
        <x:v>0</x:v>
      </x:c>
      <x:c r="K130" s="131" t="n">
        <x:f>IF(A130="","",ROUND(SUM(G130:J130),2))</x:f>
        <x:v>466.61</x:v>
      </x:c>
      <x:c r="L130" s="80"/>
      <x:c r="M130" s="77"/>
      <x:c r="N130" s="29" t="str">
        <x:f>IF(A130="","",IF(L130&gt;=K130,"Paga",IF(L130&gt;0,"Paga parcialmente",IF(C130&lt;$A$5,"Vencida","Prevista"))))</x:f>
        <x:v>Prevista</x:v>
      </x:c>
      <x:c r="O130" s="29" t="n">
        <x:f>IF(A130="","",$A$5-C130)</x:f>
        <x:v>-863</x:v>
      </x:c>
      <x:c r="P130" s="131" t="n">
        <x:f>IF(A130="","",IF(AND(O130&gt;0,MAX(K130-L130,0)&gt;0,N130&lt;&gt;"Paga"),ROUND(MAX(K130-L130,0)*'Parâmetros'!$B$34,2),0))</x:f>
        <x:v>0</x:v>
      </x:c>
      <x:c r="Q130" s="131" t="n">
        <x:f>IF(A130="","",IF(AND(O130&gt;0,MAX(K130-L130,0)&gt;0,N130&lt;&gt;"Paga"),ROUND(MAX(K130-L130,0)*'Parâmetros'!$B$35*(O130/'Parâmetros'!$B$33),2),0))</x:f>
        <x:v>0</x:v>
      </x:c>
      <x:c r="R130" s="131" t="n">
        <x:f>IF(A130="","",IF(O130&gt;0,ROUND(MAX(K130-L130,0)+P130+Q130,2),0))</x:f>
        <x:v>0</x:v>
      </x:c>
      <x:c r="S130" s="131" t="n">
        <x:f>IF(A130="","",IF(OR(N130="Paga",O130&gt;0),0,ROUND(IF(K130=0,0,G130*MAX(K130-L130,0)/K130)/(1+'Parâmetros'!$C$13)^((C130-$A$5)/30),2)))</x:f>
        <x:v>51.56</x:v>
      </x:c>
      <x:c r="T130" s="131" t="n">
        <x:f>IF(A130="","",0)</x:f>
        <x:v>0</x:v>
      </x:c>
      <x:c r="U130" s="131" t="n">
        <x:f>IF(A130="","",0)</x:f>
        <x:v>0</x:v>
      </x:c>
      <x:c r="V130" s="131" t="n">
        <x:f>IF(A130="","",IF(N130="Paga",0,IF(O130&gt;0,R130,S130)))</x:f>
        <x:v>51.56</x:v>
      </x:c>
      <x:c r="W130" s="131" t="n">
        <x:f>IF(A130="","",ROUND(MAX(D130-F130,0),2))</x:f>
        <x:v>5760.82</x:v>
      </x:c>
      <x:c r="X130" s="131" t="n">
        <x:f>IF(A130="","",ROUND(SUM($G130:$G$407),2))</x:f>
        <x:v>6882.24</x:v>
      </x:c>
      <x:c r="Y130" s="131" t="n">
        <x:f>IF(A130="","",ROUND(MAX(X130-D130,0),2))</x:f>
        <x:v>1065.23</x:v>
      </x:c>
      <x:c r="Z130" s="131" t="n">
        <x:f>IF(A130="","",ROUND(SUM($V130:$V$407),2))</x:f>
        <x:v>3877.17</x:v>
      </x:c>
      <x:c r="AA130" s="131" t="n">
        <x:f>IF(A130="","",ROUND(SUM($K130:$K$407)-Z130,2))</x:f>
        <x:v>36716.7</x:v>
      </x:c>
      <x:c r="AB130" s="77"/>
      <x:c r="AC130" s="36" t="str">
        <x:f>IF(A130="","",IF(O130&gt;0,"Vencido: saldo da fatura + mora",IF(O130&lt;=0,"Vincendo: VP da parcela financeira; comissão/proteção futuras isentas","")))</x:f>
        <x:v>Vincendo: VP da parcela financeira; comissão/proteção futuras isentas</x:v>
      </x:c>
    </x:row>
    <x:row r="131">
      <x:c r="A131" s="129" t="n">
        <x:f>IF(ROW()-7&lt;=Contrato!$C$16,ROW()-7,"")</x:f>
        <x:v>124</x:v>
      </x:c>
      <x:c r="B131" s="129" t="n">
        <x:f>IF(A131="","",Contrato!$C$16)</x:f>
        <x:v>209</x:v>
      </x:c>
      <x:c r="C131" s="130" t="n">
        <x:f>IF(A131="","",IF(AB131&lt;&gt;"",AB131,IF(Contrato!$C$14="Mensal",EDATE(Contrato!$C$13,A131-1),Contrato!$C$13+(A131-1)*IF(Contrato!$C$14="Quinzenal",14,IF(Contrato!$C$14="Semanal",7,1)))))</x:f>
        <x:v>47130</x:v>
      </x:c>
      <x:c r="D131" s="131" t="n">
        <x:f>IF(A131="","",W130)</x:f>
        <x:v>5760.82</x:v>
      </x:c>
      <x:c r="E131" s="131" t="n">
        <x:f>IF(A131="","",ROUND(D131*Simulador!$I$18,2))</x:f>
        <x:v>22.7</x:v>
      </x:c>
      <x:c r="F131" s="131" t="n">
        <x:f>IF(A131="","",ROUND(MIN(D131,MAX(G131-E131,0)),2))</x:f>
        <x:v>56.42</x:v>
      </x:c>
      <x:c r="G131" s="131" t="n">
        <x:f>IF(A131="","",IF(A131&lt;Contrato!$C$16,Contrato!$C$27,Contrato!$C$28))</x:f>
        <x:v>79.12</x:v>
      </x:c>
      <x:c r="H131" s="131" t="n">
        <x:f>IF(A131="","",Contrato!$C$29)</x:f>
        <x:v>199.99</x:v>
      </x:c>
      <x:c r="I131" s="131" t="n">
        <x:f>IF(A131="","",Contrato!$C$30)</x:f>
        <x:v>187.5</x:v>
      </x:c>
      <x:c r="J131" s="131" t="n">
        <x:f>IF(A131="","",Contrato!$C$31)</x:f>
        <x:v>0</x:v>
      </x:c>
      <x:c r="K131" s="131" t="n">
        <x:f>IF(A131="","",ROUND(SUM(G131:J131),2))</x:f>
        <x:v>466.61</x:v>
      </x:c>
      <x:c r="L131" s="80"/>
      <x:c r="M131" s="77"/>
      <x:c r="N131" s="29" t="str">
        <x:f>IF(A131="","",IF(L131&gt;=K131,"Paga",IF(L131&gt;0,"Paga parcialmente",IF(C131&lt;$A$5,"Vencida","Prevista"))))</x:f>
        <x:v>Prevista</x:v>
      </x:c>
      <x:c r="O131" s="29" t="n">
        <x:f>IF(A131="","",$A$5-C131)</x:f>
        <x:v>-870</x:v>
      </x:c>
      <x:c r="P131" s="131" t="n">
        <x:f>IF(A131="","",IF(AND(O131&gt;0,MAX(K131-L131,0)&gt;0,N131&lt;&gt;"Paga"),ROUND(MAX(K131-L131,0)*'Parâmetros'!$B$34,2),0))</x:f>
        <x:v>0</x:v>
      </x:c>
      <x:c r="Q131" s="131" t="n">
        <x:f>IF(A131="","",IF(AND(O131&gt;0,MAX(K131-L131,0)&gt;0,N131&lt;&gt;"Paga"),ROUND(MAX(K131-L131,0)*'Parâmetros'!$B$35*(O131/'Parâmetros'!$B$33),2),0))</x:f>
        <x:v>0</x:v>
      </x:c>
      <x:c r="R131" s="131" t="n">
        <x:f>IF(A131="","",IF(O131&gt;0,ROUND(MAX(K131-L131,0)+P131+Q131,2),0))</x:f>
        <x:v>0</x:v>
      </x:c>
      <x:c r="S131" s="131" t="n">
        <x:f>IF(A131="","",IF(OR(N131="Paga",O131&gt;0),0,ROUND(IF(K131=0,0,G131*MAX(K131-L131,0)/K131)/(1+'Parâmetros'!$C$13)^((C131-$A$5)/30),2)))</x:f>
        <x:v>51.38</x:v>
      </x:c>
      <x:c r="T131" s="131" t="n">
        <x:f>IF(A131="","",0)</x:f>
        <x:v>0</x:v>
      </x:c>
      <x:c r="U131" s="131" t="n">
        <x:f>IF(A131="","",0)</x:f>
        <x:v>0</x:v>
      </x:c>
      <x:c r="V131" s="131" t="n">
        <x:f>IF(A131="","",IF(N131="Paga",0,IF(O131&gt;0,R131,S131)))</x:f>
        <x:v>51.38</x:v>
      </x:c>
      <x:c r="W131" s="131" t="n">
        <x:f>IF(A131="","",ROUND(MAX(D131-F131,0),2))</x:f>
        <x:v>5704.4</x:v>
      </x:c>
      <x:c r="X131" s="131" t="n">
        <x:f>IF(A131="","",ROUND(SUM($G131:$G$407),2))</x:f>
        <x:v>6803.12</x:v>
      </x:c>
      <x:c r="Y131" s="131" t="n">
        <x:f>IF(A131="","",ROUND(MAX(X131-D131,0),2))</x:f>
        <x:v>1042.3</x:v>
      </x:c>
      <x:c r="Z131" s="131" t="n">
        <x:f>IF(A131="","",ROUND(SUM($V131:$V$407),2))</x:f>
        <x:v>3825.61</x:v>
      </x:c>
      <x:c r="AA131" s="131" t="n">
        <x:f>IF(A131="","",ROUND(SUM($K131:$K$407)-Z131,2))</x:f>
        <x:v>36301.65</x:v>
      </x:c>
      <x:c r="AB131" s="77"/>
      <x:c r="AC131" s="36" t="str">
        <x:f>IF(A131="","",IF(O131&gt;0,"Vencido: saldo da fatura + mora",IF(O131&lt;=0,"Vincendo: VP da parcela financeira; comissão/proteção futuras isentas","")))</x:f>
        <x:v>Vincendo: VP da parcela financeira; comissão/proteção futuras isentas</x:v>
      </x:c>
    </x:row>
    <x:row r="132">
      <x:c r="A132" s="129" t="n">
        <x:f>IF(ROW()-7&lt;=Contrato!$C$16,ROW()-7,"")</x:f>
        <x:v>125</x:v>
      </x:c>
      <x:c r="B132" s="129" t="n">
        <x:f>IF(A132="","",Contrato!$C$16)</x:f>
        <x:v>209</x:v>
      </x:c>
      <x:c r="C132" s="130" t="n">
        <x:f>IF(A132="","",IF(AB132&lt;&gt;"",AB132,IF(Contrato!$C$14="Mensal",EDATE(Contrato!$C$13,A132-1),Contrato!$C$13+(A132-1)*IF(Contrato!$C$14="Quinzenal",14,IF(Contrato!$C$14="Semanal",7,1)))))</x:f>
        <x:v>47137</x:v>
      </x:c>
      <x:c r="D132" s="131" t="n">
        <x:f>IF(A132="","",W131)</x:f>
        <x:v>5704.4</x:v>
      </x:c>
      <x:c r="E132" s="131" t="n">
        <x:f>IF(A132="","",ROUND(D132*Simulador!$I$18,2))</x:f>
        <x:v>22.48</x:v>
      </x:c>
      <x:c r="F132" s="131" t="n">
        <x:f>IF(A132="","",ROUND(MIN(D132,MAX(G132-E132,0)),2))</x:f>
        <x:v>56.64</x:v>
      </x:c>
      <x:c r="G132" s="131" t="n">
        <x:f>IF(A132="","",IF(A132&lt;Contrato!$C$16,Contrato!$C$27,Contrato!$C$28))</x:f>
        <x:v>79.12</x:v>
      </x:c>
      <x:c r="H132" s="131" t="n">
        <x:f>IF(A132="","",Contrato!$C$29)</x:f>
        <x:v>199.99</x:v>
      </x:c>
      <x:c r="I132" s="131" t="n">
        <x:f>IF(A132="","",Contrato!$C$30)</x:f>
        <x:v>187.5</x:v>
      </x:c>
      <x:c r="J132" s="131" t="n">
        <x:f>IF(A132="","",Contrato!$C$31)</x:f>
        <x:v>0</x:v>
      </x:c>
      <x:c r="K132" s="131" t="n">
        <x:f>IF(A132="","",ROUND(SUM(G132:J132),2))</x:f>
        <x:v>466.61</x:v>
      </x:c>
      <x:c r="L132" s="80"/>
      <x:c r="M132" s="77"/>
      <x:c r="N132" s="29" t="str">
        <x:f>IF(A132="","",IF(L132&gt;=K132,"Paga",IF(L132&gt;0,"Paga parcialmente",IF(C132&lt;$A$5,"Vencida","Prevista"))))</x:f>
        <x:v>Prevista</x:v>
      </x:c>
      <x:c r="O132" s="29" t="n">
        <x:f>IF(A132="","",$A$5-C132)</x:f>
        <x:v>-877</x:v>
      </x:c>
      <x:c r="P132" s="131" t="n">
        <x:f>IF(A132="","",IF(AND(O132&gt;0,MAX(K132-L132,0)&gt;0,N132&lt;&gt;"Paga"),ROUND(MAX(K132-L132,0)*'Parâmetros'!$B$34,2),0))</x:f>
        <x:v>0</x:v>
      </x:c>
      <x:c r="Q132" s="131" t="n">
        <x:f>IF(A132="","",IF(AND(O132&gt;0,MAX(K132-L132,0)&gt;0,N132&lt;&gt;"Paga"),ROUND(MAX(K132-L132,0)*'Parâmetros'!$B$35*(O132/'Parâmetros'!$B$33),2),0))</x:f>
        <x:v>0</x:v>
      </x:c>
      <x:c r="R132" s="131" t="n">
        <x:f>IF(A132="","",IF(O132&gt;0,ROUND(MAX(K132-L132,0)+P132+Q132,2),0))</x:f>
        <x:v>0</x:v>
      </x:c>
      <x:c r="S132" s="131" t="n">
        <x:f>IF(A132="","",IF(OR(N132="Paga",O132&gt;0),0,ROUND(IF(K132=0,0,G132*MAX(K132-L132,0)/K132)/(1+'Parâmetros'!$C$13)^((C132-$A$5)/30),2)))</x:f>
        <x:v>51.2</x:v>
      </x:c>
      <x:c r="T132" s="131" t="n">
        <x:f>IF(A132="","",0)</x:f>
        <x:v>0</x:v>
      </x:c>
      <x:c r="U132" s="131" t="n">
        <x:f>IF(A132="","",0)</x:f>
        <x:v>0</x:v>
      </x:c>
      <x:c r="V132" s="131" t="n">
        <x:f>IF(A132="","",IF(N132="Paga",0,IF(O132&gt;0,R132,S132)))</x:f>
        <x:v>51.2</x:v>
      </x:c>
      <x:c r="W132" s="131" t="n">
        <x:f>IF(A132="","",ROUND(MAX(D132-F132,0),2))</x:f>
        <x:v>5647.76</x:v>
      </x:c>
      <x:c r="X132" s="131" t="n">
        <x:f>IF(A132="","",ROUND(SUM($G132:$G$407),2))</x:f>
        <x:v>6724</x:v>
      </x:c>
      <x:c r="Y132" s="131" t="n">
        <x:f>IF(A132="","",ROUND(MAX(X132-D132,0),2))</x:f>
        <x:v>1019.6</x:v>
      </x:c>
      <x:c r="Z132" s="131" t="n">
        <x:f>IF(A132="","",ROUND(SUM($V132:$V$407),2))</x:f>
        <x:v>3774.23</x:v>
      </x:c>
      <x:c r="AA132" s="131" t="n">
        <x:f>IF(A132="","",ROUND(SUM($K132:$K$407)-Z132,2))</x:f>
        <x:v>35886.42</x:v>
      </x:c>
      <x:c r="AB132" s="77"/>
      <x:c r="AC132" s="36" t="str">
        <x:f>IF(A132="","",IF(O132&gt;0,"Vencido: saldo da fatura + mora",IF(O132&lt;=0,"Vincendo: VP da parcela financeira; comissão/proteção futuras isentas","")))</x:f>
        <x:v>Vincendo: VP da parcela financeira; comissão/proteção futuras isentas</x:v>
      </x:c>
    </x:row>
    <x:row r="133">
      <x:c r="A133" s="129" t="n">
        <x:f>IF(ROW()-7&lt;=Contrato!$C$16,ROW()-7,"")</x:f>
        <x:v>126</x:v>
      </x:c>
      <x:c r="B133" s="129" t="n">
        <x:f>IF(A133="","",Contrato!$C$16)</x:f>
        <x:v>209</x:v>
      </x:c>
      <x:c r="C133" s="130" t="n">
        <x:f>IF(A133="","",IF(AB133&lt;&gt;"",AB133,IF(Contrato!$C$14="Mensal",EDATE(Contrato!$C$13,A133-1),Contrato!$C$13+(A133-1)*IF(Contrato!$C$14="Quinzenal",14,IF(Contrato!$C$14="Semanal",7,1)))))</x:f>
        <x:v>47144</x:v>
      </x:c>
      <x:c r="D133" s="131" t="n">
        <x:f>IF(A133="","",W132)</x:f>
        <x:v>5647.76</x:v>
      </x:c>
      <x:c r="E133" s="131" t="n">
        <x:f>IF(A133="","",ROUND(D133*Simulador!$I$18,2))</x:f>
        <x:v>22.26</x:v>
      </x:c>
      <x:c r="F133" s="131" t="n">
        <x:f>IF(A133="","",ROUND(MIN(D133,MAX(G133-E133,0)),2))</x:f>
        <x:v>56.86</x:v>
      </x:c>
      <x:c r="G133" s="131" t="n">
        <x:f>IF(A133="","",IF(A133&lt;Contrato!$C$16,Contrato!$C$27,Contrato!$C$28))</x:f>
        <x:v>79.12</x:v>
      </x:c>
      <x:c r="H133" s="131" t="n">
        <x:f>IF(A133="","",Contrato!$C$29)</x:f>
        <x:v>199.99</x:v>
      </x:c>
      <x:c r="I133" s="131" t="n">
        <x:f>IF(A133="","",Contrato!$C$30)</x:f>
        <x:v>187.5</x:v>
      </x:c>
      <x:c r="J133" s="131" t="n">
        <x:f>IF(A133="","",Contrato!$C$31)</x:f>
        <x:v>0</x:v>
      </x:c>
      <x:c r="K133" s="131" t="n">
        <x:f>IF(A133="","",ROUND(SUM(G133:J133),2))</x:f>
        <x:v>466.61</x:v>
      </x:c>
      <x:c r="L133" s="80"/>
      <x:c r="M133" s="77"/>
      <x:c r="N133" s="29" t="str">
        <x:f>IF(A133="","",IF(L133&gt;=K133,"Paga",IF(L133&gt;0,"Paga parcialmente",IF(C133&lt;$A$5,"Vencida","Prevista"))))</x:f>
        <x:v>Prevista</x:v>
      </x:c>
      <x:c r="O133" s="29" t="n">
        <x:f>IF(A133="","",$A$5-C133)</x:f>
        <x:v>-884</x:v>
      </x:c>
      <x:c r="P133" s="131" t="n">
        <x:f>IF(A133="","",IF(AND(O133&gt;0,MAX(K133-L133,0)&gt;0,N133&lt;&gt;"Paga"),ROUND(MAX(K133-L133,0)*'Parâmetros'!$B$34,2),0))</x:f>
        <x:v>0</x:v>
      </x:c>
      <x:c r="Q133" s="131" t="n">
        <x:f>IF(A133="","",IF(AND(O133&gt;0,MAX(K133-L133,0)&gt;0,N133&lt;&gt;"Paga"),ROUND(MAX(K133-L133,0)*'Parâmetros'!$B$35*(O133/'Parâmetros'!$B$33),2),0))</x:f>
        <x:v>0</x:v>
      </x:c>
      <x:c r="R133" s="131" t="n">
        <x:f>IF(A133="","",IF(O133&gt;0,ROUND(MAX(K133-L133,0)+P133+Q133,2),0))</x:f>
        <x:v>0</x:v>
      </x:c>
      <x:c r="S133" s="131" t="n">
        <x:f>IF(A133="","",IF(OR(N133="Paga",O133&gt;0),0,ROUND(IF(K133=0,0,G133*MAX(K133-L133,0)/K133)/(1+'Parâmetros'!$C$13)^((C133-$A$5)/30),2)))</x:f>
        <x:v>51.02</x:v>
      </x:c>
      <x:c r="T133" s="131" t="n">
        <x:f>IF(A133="","",0)</x:f>
        <x:v>0</x:v>
      </x:c>
      <x:c r="U133" s="131" t="n">
        <x:f>IF(A133="","",0)</x:f>
        <x:v>0</x:v>
      </x:c>
      <x:c r="V133" s="131" t="n">
        <x:f>IF(A133="","",IF(N133="Paga",0,IF(O133&gt;0,R133,S133)))</x:f>
        <x:v>51.02</x:v>
      </x:c>
      <x:c r="W133" s="131" t="n">
        <x:f>IF(A133="","",ROUND(MAX(D133-F133,0),2))</x:f>
        <x:v>5590.9</x:v>
      </x:c>
      <x:c r="X133" s="131" t="n">
        <x:f>IF(A133="","",ROUND(SUM($G133:$G$407),2))</x:f>
        <x:v>6644.88</x:v>
      </x:c>
      <x:c r="Y133" s="131" t="n">
        <x:f>IF(A133="","",ROUND(MAX(X133-D133,0),2))</x:f>
        <x:v>997.12</x:v>
      </x:c>
      <x:c r="Z133" s="131" t="n">
        <x:f>IF(A133="","",ROUND(SUM($V133:$V$407),2))</x:f>
        <x:v>3723.03</x:v>
      </x:c>
      <x:c r="AA133" s="131" t="n">
        <x:f>IF(A133="","",ROUND(SUM($K133:$K$407)-Z133,2))</x:f>
        <x:v>35471.01</x:v>
      </x:c>
      <x:c r="AB133" s="77"/>
      <x:c r="AC133" s="36" t="str">
        <x:f>IF(A133="","",IF(O133&gt;0,"Vencido: saldo da fatura + mora",IF(O133&lt;=0,"Vincendo: VP da parcela financeira; comissão/proteção futuras isentas","")))</x:f>
        <x:v>Vincendo: VP da parcela financeira; comissão/proteção futuras isentas</x:v>
      </x:c>
    </x:row>
    <x:row r="134">
      <x:c r="A134" s="129" t="n">
        <x:f>IF(ROW()-7&lt;=Contrato!$C$16,ROW()-7,"")</x:f>
        <x:v>127</x:v>
      </x:c>
      <x:c r="B134" s="129" t="n">
        <x:f>IF(A134="","",Contrato!$C$16)</x:f>
        <x:v>209</x:v>
      </x:c>
      <x:c r="C134" s="130" t="n">
        <x:f>IF(A134="","",IF(AB134&lt;&gt;"",AB134,IF(Contrato!$C$14="Mensal",EDATE(Contrato!$C$13,A134-1),Contrato!$C$13+(A134-1)*IF(Contrato!$C$14="Quinzenal",14,IF(Contrato!$C$14="Semanal",7,1)))))</x:f>
        <x:v>47151</x:v>
      </x:c>
      <x:c r="D134" s="131" t="n">
        <x:f>IF(A134="","",W133)</x:f>
        <x:v>5590.9</x:v>
      </x:c>
      <x:c r="E134" s="131" t="n">
        <x:f>IF(A134="","",ROUND(D134*Simulador!$I$18,2))</x:f>
        <x:v>22.03</x:v>
      </x:c>
      <x:c r="F134" s="131" t="n">
        <x:f>IF(A134="","",ROUND(MIN(D134,MAX(G134-E134,0)),2))</x:f>
        <x:v>57.09</x:v>
      </x:c>
      <x:c r="G134" s="131" t="n">
        <x:f>IF(A134="","",IF(A134&lt;Contrato!$C$16,Contrato!$C$27,Contrato!$C$28))</x:f>
        <x:v>79.12</x:v>
      </x:c>
      <x:c r="H134" s="131" t="n">
        <x:f>IF(A134="","",Contrato!$C$29)</x:f>
        <x:v>199.99</x:v>
      </x:c>
      <x:c r="I134" s="131" t="n">
        <x:f>IF(A134="","",Contrato!$C$30)</x:f>
        <x:v>187.5</x:v>
      </x:c>
      <x:c r="J134" s="131" t="n">
        <x:f>IF(A134="","",Contrato!$C$31)</x:f>
        <x:v>0</x:v>
      </x:c>
      <x:c r="K134" s="131" t="n">
        <x:f>IF(A134="","",ROUND(SUM(G134:J134),2))</x:f>
        <x:v>466.61</x:v>
      </x:c>
      <x:c r="L134" s="80"/>
      <x:c r="M134" s="77"/>
      <x:c r="N134" s="29" t="str">
        <x:f>IF(A134="","",IF(L134&gt;=K134,"Paga",IF(L134&gt;0,"Paga parcialmente",IF(C134&lt;$A$5,"Vencida","Prevista"))))</x:f>
        <x:v>Prevista</x:v>
      </x:c>
      <x:c r="O134" s="29" t="n">
        <x:f>IF(A134="","",$A$5-C134)</x:f>
        <x:v>-891</x:v>
      </x:c>
      <x:c r="P134" s="131" t="n">
        <x:f>IF(A134="","",IF(AND(O134&gt;0,MAX(K134-L134,0)&gt;0,N134&lt;&gt;"Paga"),ROUND(MAX(K134-L134,0)*'Parâmetros'!$B$34,2),0))</x:f>
        <x:v>0</x:v>
      </x:c>
      <x:c r="Q134" s="131" t="n">
        <x:f>IF(A134="","",IF(AND(O134&gt;0,MAX(K134-L134,0)&gt;0,N134&lt;&gt;"Paga"),ROUND(MAX(K134-L134,0)*'Parâmetros'!$B$35*(O134/'Parâmetros'!$B$33),2),0))</x:f>
        <x:v>0</x:v>
      </x:c>
      <x:c r="R134" s="131" t="n">
        <x:f>IF(A134="","",IF(O134&gt;0,ROUND(MAX(K134-L134,0)+P134+Q134,2),0))</x:f>
        <x:v>0</x:v>
      </x:c>
      <x:c r="S134" s="131" t="n">
        <x:f>IF(A134="","",IF(OR(N134="Paga",O134&gt;0),0,ROUND(IF(K134=0,0,G134*MAX(K134-L134,0)/K134)/(1+'Parâmetros'!$C$13)^((C134-$A$5)/30),2)))</x:f>
        <x:v>50.84</x:v>
      </x:c>
      <x:c r="T134" s="131" t="n">
        <x:f>IF(A134="","",0)</x:f>
        <x:v>0</x:v>
      </x:c>
      <x:c r="U134" s="131" t="n">
        <x:f>IF(A134="","",0)</x:f>
        <x:v>0</x:v>
      </x:c>
      <x:c r="V134" s="131" t="n">
        <x:f>IF(A134="","",IF(N134="Paga",0,IF(O134&gt;0,R134,S134)))</x:f>
        <x:v>50.84</x:v>
      </x:c>
      <x:c r="W134" s="131" t="n">
        <x:f>IF(A134="","",ROUND(MAX(D134-F134,0),2))</x:f>
        <x:v>5533.81</x:v>
      </x:c>
      <x:c r="X134" s="131" t="n">
        <x:f>IF(A134="","",ROUND(SUM($G134:$G$407),2))</x:f>
        <x:v>6565.76</x:v>
      </x:c>
      <x:c r="Y134" s="131" t="n">
        <x:f>IF(A134="","",ROUND(MAX(X134-D134,0),2))</x:f>
        <x:v>974.86</x:v>
      </x:c>
      <x:c r="Z134" s="131" t="n">
        <x:f>IF(A134="","",ROUND(SUM($V134:$V$407),2))</x:f>
        <x:v>3672.01</x:v>
      </x:c>
      <x:c r="AA134" s="131" t="n">
        <x:f>IF(A134="","",ROUND(SUM($K134:$K$407)-Z134,2))</x:f>
        <x:v>35055.42</x:v>
      </x:c>
      <x:c r="AB134" s="77"/>
      <x:c r="AC134" s="36" t="str">
        <x:f>IF(A134="","",IF(O134&gt;0,"Vencido: saldo da fatura + mora",IF(O134&lt;=0,"Vincendo: VP da parcela financeira; comissão/proteção futuras isentas","")))</x:f>
        <x:v>Vincendo: VP da parcela financeira; comissão/proteção futuras isentas</x:v>
      </x:c>
    </x:row>
    <x:row r="135">
      <x:c r="A135" s="129" t="n">
        <x:f>IF(ROW()-7&lt;=Contrato!$C$16,ROW()-7,"")</x:f>
        <x:v>128</x:v>
      </x:c>
      <x:c r="B135" s="129" t="n">
        <x:f>IF(A135="","",Contrato!$C$16)</x:f>
        <x:v>209</x:v>
      </x:c>
      <x:c r="C135" s="130" t="n">
        <x:f>IF(A135="","",IF(AB135&lt;&gt;"",AB135,IF(Contrato!$C$14="Mensal",EDATE(Contrato!$C$13,A135-1),Contrato!$C$13+(A135-1)*IF(Contrato!$C$14="Quinzenal",14,IF(Contrato!$C$14="Semanal",7,1)))))</x:f>
        <x:v>47158</x:v>
      </x:c>
      <x:c r="D135" s="131" t="n">
        <x:f>IF(A135="","",W134)</x:f>
        <x:v>5533.81</x:v>
      </x:c>
      <x:c r="E135" s="131" t="n">
        <x:f>IF(A135="","",ROUND(D135*Simulador!$I$18,2))</x:f>
        <x:v>21.81</x:v>
      </x:c>
      <x:c r="F135" s="131" t="n">
        <x:f>IF(A135="","",ROUND(MIN(D135,MAX(G135-E135,0)),2))</x:f>
        <x:v>57.31</x:v>
      </x:c>
      <x:c r="G135" s="131" t="n">
        <x:f>IF(A135="","",IF(A135&lt;Contrato!$C$16,Contrato!$C$27,Contrato!$C$28))</x:f>
        <x:v>79.12</x:v>
      </x:c>
      <x:c r="H135" s="131" t="n">
        <x:f>IF(A135="","",Contrato!$C$29)</x:f>
        <x:v>199.99</x:v>
      </x:c>
      <x:c r="I135" s="131" t="n">
        <x:f>IF(A135="","",Contrato!$C$30)</x:f>
        <x:v>187.5</x:v>
      </x:c>
      <x:c r="J135" s="131" t="n">
        <x:f>IF(A135="","",Contrato!$C$31)</x:f>
        <x:v>0</x:v>
      </x:c>
      <x:c r="K135" s="131" t="n">
        <x:f>IF(A135="","",ROUND(SUM(G135:J135),2))</x:f>
        <x:v>466.61</x:v>
      </x:c>
      <x:c r="L135" s="80"/>
      <x:c r="M135" s="77"/>
      <x:c r="N135" s="29" t="str">
        <x:f>IF(A135="","",IF(L135&gt;=K135,"Paga",IF(L135&gt;0,"Paga parcialmente",IF(C135&lt;$A$5,"Vencida","Prevista"))))</x:f>
        <x:v>Prevista</x:v>
      </x:c>
      <x:c r="O135" s="29" t="n">
        <x:f>IF(A135="","",$A$5-C135)</x:f>
        <x:v>-898</x:v>
      </x:c>
      <x:c r="P135" s="131" t="n">
        <x:f>IF(A135="","",IF(AND(O135&gt;0,MAX(K135-L135,0)&gt;0,N135&lt;&gt;"Paga"),ROUND(MAX(K135-L135,0)*'Parâmetros'!$B$34,2),0))</x:f>
        <x:v>0</x:v>
      </x:c>
      <x:c r="Q135" s="131" t="n">
        <x:f>IF(A135="","",IF(AND(O135&gt;0,MAX(K135-L135,0)&gt;0,N135&lt;&gt;"Paga"),ROUND(MAX(K135-L135,0)*'Parâmetros'!$B$35*(O135/'Parâmetros'!$B$33),2),0))</x:f>
        <x:v>0</x:v>
      </x:c>
      <x:c r="R135" s="131" t="n">
        <x:f>IF(A135="","",IF(O135&gt;0,ROUND(MAX(K135-L135,0)+P135+Q135,2),0))</x:f>
        <x:v>0</x:v>
      </x:c>
      <x:c r="S135" s="131" t="n">
        <x:f>IF(A135="","",IF(OR(N135="Paga",O135&gt;0),0,ROUND(IF(K135=0,0,G135*MAX(K135-L135,0)/K135)/(1+'Parâmetros'!$C$13)^((C135-$A$5)/30),2)))</x:f>
        <x:v>50.67</x:v>
      </x:c>
      <x:c r="T135" s="131" t="n">
        <x:f>IF(A135="","",0)</x:f>
        <x:v>0</x:v>
      </x:c>
      <x:c r="U135" s="131" t="n">
        <x:f>IF(A135="","",0)</x:f>
        <x:v>0</x:v>
      </x:c>
      <x:c r="V135" s="131" t="n">
        <x:f>IF(A135="","",IF(N135="Paga",0,IF(O135&gt;0,R135,S135)))</x:f>
        <x:v>50.67</x:v>
      </x:c>
      <x:c r="W135" s="131" t="n">
        <x:f>IF(A135="","",ROUND(MAX(D135-F135,0),2))</x:f>
        <x:v>5476.5</x:v>
      </x:c>
      <x:c r="X135" s="131" t="n">
        <x:f>IF(A135="","",ROUND(SUM($G135:$G$407),2))</x:f>
        <x:v>6486.64</x:v>
      </x:c>
      <x:c r="Y135" s="131" t="n">
        <x:f>IF(A135="","",ROUND(MAX(X135-D135,0),2))</x:f>
        <x:v>952.83</x:v>
      </x:c>
      <x:c r="Z135" s="131" t="n">
        <x:f>IF(A135="","",ROUND(SUM($V135:$V$407),2))</x:f>
        <x:v>3621.17</x:v>
      </x:c>
      <x:c r="AA135" s="131" t="n">
        <x:f>IF(A135="","",ROUND(SUM($K135:$K$407)-Z135,2))</x:f>
        <x:v>34639.65</x:v>
      </x:c>
      <x:c r="AB135" s="77"/>
      <x:c r="AC135" s="36" t="str">
        <x:f>IF(A135="","",IF(O135&gt;0,"Vencido: saldo da fatura + mora",IF(O135&lt;=0,"Vincendo: VP da parcela financeira; comissão/proteção futuras isentas","")))</x:f>
        <x:v>Vincendo: VP da parcela financeira; comissão/proteção futuras isentas</x:v>
      </x:c>
    </x:row>
    <x:row r="136">
      <x:c r="A136" s="129" t="n">
        <x:f>IF(ROW()-7&lt;=Contrato!$C$16,ROW()-7,"")</x:f>
        <x:v>129</x:v>
      </x:c>
      <x:c r="B136" s="129" t="n">
        <x:f>IF(A136="","",Contrato!$C$16)</x:f>
        <x:v>209</x:v>
      </x:c>
      <x:c r="C136" s="130" t="n">
        <x:f>IF(A136="","",IF(AB136&lt;&gt;"",AB136,IF(Contrato!$C$14="Mensal",EDATE(Contrato!$C$13,A136-1),Contrato!$C$13+(A136-1)*IF(Contrato!$C$14="Quinzenal",14,IF(Contrato!$C$14="Semanal",7,1)))))</x:f>
        <x:v>47165</x:v>
      </x:c>
      <x:c r="D136" s="131" t="n">
        <x:f>IF(A136="","",W135)</x:f>
        <x:v>5476.5</x:v>
      </x:c>
      <x:c r="E136" s="131" t="n">
        <x:f>IF(A136="","",ROUND(D136*Simulador!$I$18,2))</x:f>
        <x:v>21.58</x:v>
      </x:c>
      <x:c r="F136" s="131" t="n">
        <x:f>IF(A136="","",ROUND(MIN(D136,MAX(G136-E136,0)),2))</x:f>
        <x:v>57.54</x:v>
      </x:c>
      <x:c r="G136" s="131" t="n">
        <x:f>IF(A136="","",IF(A136&lt;Contrato!$C$16,Contrato!$C$27,Contrato!$C$28))</x:f>
        <x:v>79.12</x:v>
      </x:c>
      <x:c r="H136" s="131" t="n">
        <x:f>IF(A136="","",Contrato!$C$29)</x:f>
        <x:v>199.99</x:v>
      </x:c>
      <x:c r="I136" s="131" t="n">
        <x:f>IF(A136="","",Contrato!$C$30)</x:f>
        <x:v>187.5</x:v>
      </x:c>
      <x:c r="J136" s="131" t="n">
        <x:f>IF(A136="","",Contrato!$C$31)</x:f>
        <x:v>0</x:v>
      </x:c>
      <x:c r="K136" s="131" t="n">
        <x:f>IF(A136="","",ROUND(SUM(G136:J136),2))</x:f>
        <x:v>466.61</x:v>
      </x:c>
      <x:c r="L136" s="80"/>
      <x:c r="M136" s="77"/>
      <x:c r="N136" s="29" t="str">
        <x:f>IF(A136="","",IF(L136&gt;=K136,"Paga",IF(L136&gt;0,"Paga parcialmente",IF(C136&lt;$A$5,"Vencida","Prevista"))))</x:f>
        <x:v>Prevista</x:v>
      </x:c>
      <x:c r="O136" s="29" t="n">
        <x:f>IF(A136="","",$A$5-C136)</x:f>
        <x:v>-905</x:v>
      </x:c>
      <x:c r="P136" s="131" t="n">
        <x:f>IF(A136="","",IF(AND(O136&gt;0,MAX(K136-L136,0)&gt;0,N136&lt;&gt;"Paga"),ROUND(MAX(K136-L136,0)*'Parâmetros'!$B$34,2),0))</x:f>
        <x:v>0</x:v>
      </x:c>
      <x:c r="Q136" s="131" t="n">
        <x:f>IF(A136="","",IF(AND(O136&gt;0,MAX(K136-L136,0)&gt;0,N136&lt;&gt;"Paga"),ROUND(MAX(K136-L136,0)*'Parâmetros'!$B$35*(O136/'Parâmetros'!$B$33),2),0))</x:f>
        <x:v>0</x:v>
      </x:c>
      <x:c r="R136" s="131" t="n">
        <x:f>IF(A136="","",IF(O136&gt;0,ROUND(MAX(K136-L136,0)+P136+Q136,2),0))</x:f>
        <x:v>0</x:v>
      </x:c>
      <x:c r="S136" s="131" t="n">
        <x:f>IF(A136="","",IF(OR(N136="Paga",O136&gt;0),0,ROUND(IF(K136=0,0,G136*MAX(K136-L136,0)/K136)/(1+'Parâmetros'!$C$13)^((C136-$A$5)/30),2)))</x:f>
        <x:v>50.49</x:v>
      </x:c>
      <x:c r="T136" s="131" t="n">
        <x:f>IF(A136="","",0)</x:f>
        <x:v>0</x:v>
      </x:c>
      <x:c r="U136" s="131" t="n">
        <x:f>IF(A136="","",0)</x:f>
        <x:v>0</x:v>
      </x:c>
      <x:c r="V136" s="131" t="n">
        <x:f>IF(A136="","",IF(N136="Paga",0,IF(O136&gt;0,R136,S136)))</x:f>
        <x:v>50.49</x:v>
      </x:c>
      <x:c r="W136" s="131" t="n">
        <x:f>IF(A136="","",ROUND(MAX(D136-F136,0),2))</x:f>
        <x:v>5418.96</x:v>
      </x:c>
      <x:c r="X136" s="131" t="n">
        <x:f>IF(A136="","",ROUND(SUM($G136:$G$407),2))</x:f>
        <x:v>6407.52</x:v>
      </x:c>
      <x:c r="Y136" s="131" t="n">
        <x:f>IF(A136="","",ROUND(MAX(X136-D136,0),2))</x:f>
        <x:v>931.02</x:v>
      </x:c>
      <x:c r="Z136" s="131" t="n">
        <x:f>IF(A136="","",ROUND(SUM($V136:$V$407),2))</x:f>
        <x:v>3570.5</x:v>
      </x:c>
      <x:c r="AA136" s="131" t="n">
        <x:f>IF(A136="","",ROUND(SUM($K136:$K$407)-Z136,2))</x:f>
        <x:v>34223.71</x:v>
      </x:c>
      <x:c r="AB136" s="77"/>
      <x:c r="AC136" s="36" t="str">
        <x:f>IF(A136="","",IF(O136&gt;0,"Vencido: saldo da fatura + mora",IF(O136&lt;=0,"Vincendo: VP da parcela financeira; comissão/proteção futuras isentas","")))</x:f>
        <x:v>Vincendo: VP da parcela financeira; comissão/proteção futuras isentas</x:v>
      </x:c>
    </x:row>
    <x:row r="137">
      <x:c r="A137" s="129" t="n">
        <x:f>IF(ROW()-7&lt;=Contrato!$C$16,ROW()-7,"")</x:f>
        <x:v>130</x:v>
      </x:c>
      <x:c r="B137" s="129" t="n">
        <x:f>IF(A137="","",Contrato!$C$16)</x:f>
        <x:v>209</x:v>
      </x:c>
      <x:c r="C137" s="130" t="n">
        <x:f>IF(A137="","",IF(AB137&lt;&gt;"",AB137,IF(Contrato!$C$14="Mensal",EDATE(Contrato!$C$13,A137-1),Contrato!$C$13+(A137-1)*IF(Contrato!$C$14="Quinzenal",14,IF(Contrato!$C$14="Semanal",7,1)))))</x:f>
        <x:v>47172</x:v>
      </x:c>
      <x:c r="D137" s="131" t="n">
        <x:f>IF(A137="","",W136)</x:f>
        <x:v>5418.96</x:v>
      </x:c>
      <x:c r="E137" s="131" t="n">
        <x:f>IF(A137="","",ROUND(D137*Simulador!$I$18,2))</x:f>
        <x:v>21.36</x:v>
      </x:c>
      <x:c r="F137" s="131" t="n">
        <x:f>IF(A137="","",ROUND(MIN(D137,MAX(G137-E137,0)),2))</x:f>
        <x:v>57.76</x:v>
      </x:c>
      <x:c r="G137" s="131" t="n">
        <x:f>IF(A137="","",IF(A137&lt;Contrato!$C$16,Contrato!$C$27,Contrato!$C$28))</x:f>
        <x:v>79.12</x:v>
      </x:c>
      <x:c r="H137" s="131" t="n">
        <x:f>IF(A137="","",Contrato!$C$29)</x:f>
        <x:v>199.99</x:v>
      </x:c>
      <x:c r="I137" s="131" t="n">
        <x:f>IF(A137="","",Contrato!$C$30)</x:f>
        <x:v>187.5</x:v>
      </x:c>
      <x:c r="J137" s="131" t="n">
        <x:f>IF(A137="","",Contrato!$C$31)</x:f>
        <x:v>0</x:v>
      </x:c>
      <x:c r="K137" s="131" t="n">
        <x:f>IF(A137="","",ROUND(SUM(G137:J137),2))</x:f>
        <x:v>466.61</x:v>
      </x:c>
      <x:c r="L137" s="80"/>
      <x:c r="M137" s="77"/>
      <x:c r="N137" s="29" t="str">
        <x:f>IF(A137="","",IF(L137&gt;=K137,"Paga",IF(L137&gt;0,"Paga parcialmente",IF(C137&lt;$A$5,"Vencida","Prevista"))))</x:f>
        <x:v>Prevista</x:v>
      </x:c>
      <x:c r="O137" s="29" t="n">
        <x:f>IF(A137="","",$A$5-C137)</x:f>
        <x:v>-912</x:v>
      </x:c>
      <x:c r="P137" s="131" t="n">
        <x:f>IF(A137="","",IF(AND(O137&gt;0,MAX(K137-L137,0)&gt;0,N137&lt;&gt;"Paga"),ROUND(MAX(K137-L137,0)*'Parâmetros'!$B$34,2),0))</x:f>
        <x:v>0</x:v>
      </x:c>
      <x:c r="Q137" s="131" t="n">
        <x:f>IF(A137="","",IF(AND(O137&gt;0,MAX(K137-L137,0)&gt;0,N137&lt;&gt;"Paga"),ROUND(MAX(K137-L137,0)*'Parâmetros'!$B$35*(O137/'Parâmetros'!$B$33),2),0))</x:f>
        <x:v>0</x:v>
      </x:c>
      <x:c r="R137" s="131" t="n">
        <x:f>IF(A137="","",IF(O137&gt;0,ROUND(MAX(K137-L137,0)+P137+Q137,2),0))</x:f>
        <x:v>0</x:v>
      </x:c>
      <x:c r="S137" s="131" t="n">
        <x:f>IF(A137="","",IF(OR(N137="Paga",O137&gt;0),0,ROUND(IF(K137=0,0,G137*MAX(K137-L137,0)/K137)/(1+'Parâmetros'!$C$13)^((C137-$A$5)/30),2)))</x:f>
        <x:v>50.32</x:v>
      </x:c>
      <x:c r="T137" s="131" t="n">
        <x:f>IF(A137="","",0)</x:f>
        <x:v>0</x:v>
      </x:c>
      <x:c r="U137" s="131" t="n">
        <x:f>IF(A137="","",0)</x:f>
        <x:v>0</x:v>
      </x:c>
      <x:c r="V137" s="131" t="n">
        <x:f>IF(A137="","",IF(N137="Paga",0,IF(O137&gt;0,R137,S137)))</x:f>
        <x:v>50.32</x:v>
      </x:c>
      <x:c r="W137" s="131" t="n">
        <x:f>IF(A137="","",ROUND(MAX(D137-F137,0),2))</x:f>
        <x:v>5361.2</x:v>
      </x:c>
      <x:c r="X137" s="131" t="n">
        <x:f>IF(A137="","",ROUND(SUM($G137:$G$407),2))</x:f>
        <x:v>6328.4</x:v>
      </x:c>
      <x:c r="Y137" s="131" t="n">
        <x:f>IF(A137="","",ROUND(MAX(X137-D137,0),2))</x:f>
        <x:v>909.44</x:v>
      </x:c>
      <x:c r="Z137" s="131" t="n">
        <x:f>IF(A137="","",ROUND(SUM($V137:$V$407),2))</x:f>
        <x:v>3520.01</x:v>
      </x:c>
      <x:c r="AA137" s="131" t="n">
        <x:f>IF(A137="","",ROUND(SUM($K137:$K$407)-Z137,2))</x:f>
        <x:v>33807.59</x:v>
      </x:c>
      <x:c r="AB137" s="77"/>
      <x:c r="AC137" s="36" t="str">
        <x:f>IF(A137="","",IF(O137&gt;0,"Vencido: saldo da fatura + mora",IF(O137&lt;=0,"Vincendo: VP da parcela financeira; comissão/proteção futuras isentas","")))</x:f>
        <x:v>Vincendo: VP da parcela financeira; comissão/proteção futuras isentas</x:v>
      </x:c>
    </x:row>
    <x:row r="138">
      <x:c r="A138" s="129" t="n">
        <x:f>IF(ROW()-7&lt;=Contrato!$C$16,ROW()-7,"")</x:f>
        <x:v>131</x:v>
      </x:c>
      <x:c r="B138" s="129" t="n">
        <x:f>IF(A138="","",Contrato!$C$16)</x:f>
        <x:v>209</x:v>
      </x:c>
      <x:c r="C138" s="130" t="n">
        <x:f>IF(A138="","",IF(AB138&lt;&gt;"",AB138,IF(Contrato!$C$14="Mensal",EDATE(Contrato!$C$13,A138-1),Contrato!$C$13+(A138-1)*IF(Contrato!$C$14="Quinzenal",14,IF(Contrato!$C$14="Semanal",7,1)))))</x:f>
        <x:v>47179</x:v>
      </x:c>
      <x:c r="D138" s="131" t="n">
        <x:f>IF(A138="","",W137)</x:f>
        <x:v>5361.2</x:v>
      </x:c>
      <x:c r="E138" s="131" t="n">
        <x:f>IF(A138="","",ROUND(D138*Simulador!$I$18,2))</x:f>
        <x:v>21.13</x:v>
      </x:c>
      <x:c r="F138" s="131" t="n">
        <x:f>IF(A138="","",ROUND(MIN(D138,MAX(G138-E138,0)),2))</x:f>
        <x:v>57.99</x:v>
      </x:c>
      <x:c r="G138" s="131" t="n">
        <x:f>IF(A138="","",IF(A138&lt;Contrato!$C$16,Contrato!$C$27,Contrato!$C$28))</x:f>
        <x:v>79.12</x:v>
      </x:c>
      <x:c r="H138" s="131" t="n">
        <x:f>IF(A138="","",Contrato!$C$29)</x:f>
        <x:v>199.99</x:v>
      </x:c>
      <x:c r="I138" s="131" t="n">
        <x:f>IF(A138="","",Contrato!$C$30)</x:f>
        <x:v>187.5</x:v>
      </x:c>
      <x:c r="J138" s="131" t="n">
        <x:f>IF(A138="","",Contrato!$C$31)</x:f>
        <x:v>0</x:v>
      </x:c>
      <x:c r="K138" s="131" t="n">
        <x:f>IF(A138="","",ROUND(SUM(G138:J138),2))</x:f>
        <x:v>466.61</x:v>
      </x:c>
      <x:c r="L138" s="80"/>
      <x:c r="M138" s="77"/>
      <x:c r="N138" s="29" t="str">
        <x:f>IF(A138="","",IF(L138&gt;=K138,"Paga",IF(L138&gt;0,"Paga parcialmente",IF(C138&lt;$A$5,"Vencida","Prevista"))))</x:f>
        <x:v>Prevista</x:v>
      </x:c>
      <x:c r="O138" s="29" t="n">
        <x:f>IF(A138="","",$A$5-C138)</x:f>
        <x:v>-919</x:v>
      </x:c>
      <x:c r="P138" s="131" t="n">
        <x:f>IF(A138="","",IF(AND(O138&gt;0,MAX(K138-L138,0)&gt;0,N138&lt;&gt;"Paga"),ROUND(MAX(K138-L138,0)*'Parâmetros'!$B$34,2),0))</x:f>
        <x:v>0</x:v>
      </x:c>
      <x:c r="Q138" s="131" t="n">
        <x:f>IF(A138="","",IF(AND(O138&gt;0,MAX(K138-L138,0)&gt;0,N138&lt;&gt;"Paga"),ROUND(MAX(K138-L138,0)*'Parâmetros'!$B$35*(O138/'Parâmetros'!$B$33),2),0))</x:f>
        <x:v>0</x:v>
      </x:c>
      <x:c r="R138" s="131" t="n">
        <x:f>IF(A138="","",IF(O138&gt;0,ROUND(MAX(K138-L138,0)+P138+Q138,2),0))</x:f>
        <x:v>0</x:v>
      </x:c>
      <x:c r="S138" s="131" t="n">
        <x:f>IF(A138="","",IF(OR(N138="Paga",O138&gt;0),0,ROUND(IF(K138=0,0,G138*MAX(K138-L138,0)/K138)/(1+'Parâmetros'!$C$13)^((C138-$A$5)/30),2)))</x:f>
        <x:v>50.14</x:v>
      </x:c>
      <x:c r="T138" s="131" t="n">
        <x:f>IF(A138="","",0)</x:f>
        <x:v>0</x:v>
      </x:c>
      <x:c r="U138" s="131" t="n">
        <x:f>IF(A138="","",0)</x:f>
        <x:v>0</x:v>
      </x:c>
      <x:c r="V138" s="131" t="n">
        <x:f>IF(A138="","",IF(N138="Paga",0,IF(O138&gt;0,R138,S138)))</x:f>
        <x:v>50.14</x:v>
      </x:c>
      <x:c r="W138" s="131" t="n">
        <x:f>IF(A138="","",ROUND(MAX(D138-F138,0),2))</x:f>
        <x:v>5303.21</x:v>
      </x:c>
      <x:c r="X138" s="131" t="n">
        <x:f>IF(A138="","",ROUND(SUM($G138:$G$407),2))</x:f>
        <x:v>6249.28</x:v>
      </x:c>
      <x:c r="Y138" s="131" t="n">
        <x:f>IF(A138="","",ROUND(MAX(X138-D138,0),2))</x:f>
        <x:v>888.08</x:v>
      </x:c>
      <x:c r="Z138" s="131" t="n">
        <x:f>IF(A138="","",ROUND(SUM($V138:$V$407),2))</x:f>
        <x:v>3469.69</x:v>
      </x:c>
      <x:c r="AA138" s="131" t="n">
        <x:f>IF(A138="","",ROUND(SUM($K138:$K$407)-Z138,2))</x:f>
        <x:v>33391.3</x:v>
      </x:c>
      <x:c r="AB138" s="77"/>
      <x:c r="AC138" s="36" t="str">
        <x:f>IF(A138="","",IF(O138&gt;0,"Vencido: saldo da fatura + mora",IF(O138&lt;=0,"Vincendo: VP da parcela financeira; comissão/proteção futuras isentas","")))</x:f>
        <x:v>Vincendo: VP da parcela financeira; comissão/proteção futuras isentas</x:v>
      </x:c>
    </x:row>
    <x:row r="139">
      <x:c r="A139" s="129" t="n">
        <x:f>IF(ROW()-7&lt;=Contrato!$C$16,ROW()-7,"")</x:f>
        <x:v>132</x:v>
      </x:c>
      <x:c r="B139" s="129" t="n">
        <x:f>IF(A139="","",Contrato!$C$16)</x:f>
        <x:v>209</x:v>
      </x:c>
      <x:c r="C139" s="130" t="n">
        <x:f>IF(A139="","",IF(AB139&lt;&gt;"",AB139,IF(Contrato!$C$14="Mensal",EDATE(Contrato!$C$13,A139-1),Contrato!$C$13+(A139-1)*IF(Contrato!$C$14="Quinzenal",14,IF(Contrato!$C$14="Semanal",7,1)))))</x:f>
        <x:v>47186</x:v>
      </x:c>
      <x:c r="D139" s="131" t="n">
        <x:f>IF(A139="","",W138)</x:f>
        <x:v>5303.21</x:v>
      </x:c>
      <x:c r="E139" s="131" t="n">
        <x:f>IF(A139="","",ROUND(D139*Simulador!$I$18,2))</x:f>
        <x:v>20.9</x:v>
      </x:c>
      <x:c r="F139" s="131" t="n">
        <x:f>IF(A139="","",ROUND(MIN(D139,MAX(G139-E139,0)),2))</x:f>
        <x:v>58.22</x:v>
      </x:c>
      <x:c r="G139" s="131" t="n">
        <x:f>IF(A139="","",IF(A139&lt;Contrato!$C$16,Contrato!$C$27,Contrato!$C$28))</x:f>
        <x:v>79.12</x:v>
      </x:c>
      <x:c r="H139" s="131" t="n">
        <x:f>IF(A139="","",Contrato!$C$29)</x:f>
        <x:v>199.99</x:v>
      </x:c>
      <x:c r="I139" s="131" t="n">
        <x:f>IF(A139="","",Contrato!$C$30)</x:f>
        <x:v>187.5</x:v>
      </x:c>
      <x:c r="J139" s="131" t="n">
        <x:f>IF(A139="","",Contrato!$C$31)</x:f>
        <x:v>0</x:v>
      </x:c>
      <x:c r="K139" s="131" t="n">
        <x:f>IF(A139="","",ROUND(SUM(G139:J139),2))</x:f>
        <x:v>466.61</x:v>
      </x:c>
      <x:c r="L139" s="80"/>
      <x:c r="M139" s="77"/>
      <x:c r="N139" s="29" t="str">
        <x:f>IF(A139="","",IF(L139&gt;=K139,"Paga",IF(L139&gt;0,"Paga parcialmente",IF(C139&lt;$A$5,"Vencida","Prevista"))))</x:f>
        <x:v>Prevista</x:v>
      </x:c>
      <x:c r="O139" s="29" t="n">
        <x:f>IF(A139="","",$A$5-C139)</x:f>
        <x:v>-926</x:v>
      </x:c>
      <x:c r="P139" s="131" t="n">
        <x:f>IF(A139="","",IF(AND(O139&gt;0,MAX(K139-L139,0)&gt;0,N139&lt;&gt;"Paga"),ROUND(MAX(K139-L139,0)*'Parâmetros'!$B$34,2),0))</x:f>
        <x:v>0</x:v>
      </x:c>
      <x:c r="Q139" s="131" t="n">
        <x:f>IF(A139="","",IF(AND(O139&gt;0,MAX(K139-L139,0)&gt;0,N139&lt;&gt;"Paga"),ROUND(MAX(K139-L139,0)*'Parâmetros'!$B$35*(O139/'Parâmetros'!$B$33),2),0))</x:f>
        <x:v>0</x:v>
      </x:c>
      <x:c r="R139" s="131" t="n">
        <x:f>IF(A139="","",IF(O139&gt;0,ROUND(MAX(K139-L139,0)+P139+Q139,2),0))</x:f>
        <x:v>0</x:v>
      </x:c>
      <x:c r="S139" s="131" t="n">
        <x:f>IF(A139="","",IF(OR(N139="Paga",O139&gt;0),0,ROUND(IF(K139=0,0,G139*MAX(K139-L139,0)/K139)/(1+'Parâmetros'!$C$13)^((C139-$A$5)/30),2)))</x:f>
        <x:v>49.97</x:v>
      </x:c>
      <x:c r="T139" s="131" t="n">
        <x:f>IF(A139="","",0)</x:f>
        <x:v>0</x:v>
      </x:c>
      <x:c r="U139" s="131" t="n">
        <x:f>IF(A139="","",0)</x:f>
        <x:v>0</x:v>
      </x:c>
      <x:c r="V139" s="131" t="n">
        <x:f>IF(A139="","",IF(N139="Paga",0,IF(O139&gt;0,R139,S139)))</x:f>
        <x:v>49.97</x:v>
      </x:c>
      <x:c r="W139" s="131" t="n">
        <x:f>IF(A139="","",ROUND(MAX(D139-F139,0),2))</x:f>
        <x:v>5244.99</x:v>
      </x:c>
      <x:c r="X139" s="131" t="n">
        <x:f>IF(A139="","",ROUND(SUM($G139:$G$407),2))</x:f>
        <x:v>6170.16</x:v>
      </x:c>
      <x:c r="Y139" s="131" t="n">
        <x:f>IF(A139="","",ROUND(MAX(X139-D139,0),2))</x:f>
        <x:v>866.95</x:v>
      </x:c>
      <x:c r="Z139" s="131" t="n">
        <x:f>IF(A139="","",ROUND(SUM($V139:$V$407),2))</x:f>
        <x:v>3419.55</x:v>
      </x:c>
      <x:c r="AA139" s="131" t="n">
        <x:f>IF(A139="","",ROUND(SUM($K139:$K$407)-Z139,2))</x:f>
        <x:v>32974.83</x:v>
      </x:c>
      <x:c r="AB139" s="77"/>
      <x:c r="AC139" s="36" t="str">
        <x:f>IF(A139="","",IF(O139&gt;0,"Vencido: saldo da fatura + mora",IF(O139&lt;=0,"Vincendo: VP da parcela financeira; comissão/proteção futuras isentas","")))</x:f>
        <x:v>Vincendo: VP da parcela financeira; comissão/proteção futuras isentas</x:v>
      </x:c>
    </x:row>
    <x:row r="140">
      <x:c r="A140" s="129" t="n">
        <x:f>IF(ROW()-7&lt;=Contrato!$C$16,ROW()-7,"")</x:f>
        <x:v>133</x:v>
      </x:c>
      <x:c r="B140" s="129" t="n">
        <x:f>IF(A140="","",Contrato!$C$16)</x:f>
        <x:v>209</x:v>
      </x:c>
      <x:c r="C140" s="130" t="n">
        <x:f>IF(A140="","",IF(AB140&lt;&gt;"",AB140,IF(Contrato!$C$14="Mensal",EDATE(Contrato!$C$13,A140-1),Contrato!$C$13+(A140-1)*IF(Contrato!$C$14="Quinzenal",14,IF(Contrato!$C$14="Semanal",7,1)))))</x:f>
        <x:v>47193</x:v>
      </x:c>
      <x:c r="D140" s="131" t="n">
        <x:f>IF(A140="","",W139)</x:f>
        <x:v>5244.99</x:v>
      </x:c>
      <x:c r="E140" s="131" t="n">
        <x:f>IF(A140="","",ROUND(D140*Simulador!$I$18,2))</x:f>
        <x:v>20.67</x:v>
      </x:c>
      <x:c r="F140" s="131" t="n">
        <x:f>IF(A140="","",ROUND(MIN(D140,MAX(G140-E140,0)),2))</x:f>
        <x:v>58.45</x:v>
      </x:c>
      <x:c r="G140" s="131" t="n">
        <x:f>IF(A140="","",IF(A140&lt;Contrato!$C$16,Contrato!$C$27,Contrato!$C$28))</x:f>
        <x:v>79.12</x:v>
      </x:c>
      <x:c r="H140" s="131" t="n">
        <x:f>IF(A140="","",Contrato!$C$29)</x:f>
        <x:v>199.99</x:v>
      </x:c>
      <x:c r="I140" s="131" t="n">
        <x:f>IF(A140="","",Contrato!$C$30)</x:f>
        <x:v>187.5</x:v>
      </x:c>
      <x:c r="J140" s="131" t="n">
        <x:f>IF(A140="","",Contrato!$C$31)</x:f>
        <x:v>0</x:v>
      </x:c>
      <x:c r="K140" s="131" t="n">
        <x:f>IF(A140="","",ROUND(SUM(G140:J140),2))</x:f>
        <x:v>466.61</x:v>
      </x:c>
      <x:c r="L140" s="80"/>
      <x:c r="M140" s="77"/>
      <x:c r="N140" s="29" t="str">
        <x:f>IF(A140="","",IF(L140&gt;=K140,"Paga",IF(L140&gt;0,"Paga parcialmente",IF(C140&lt;$A$5,"Vencida","Prevista"))))</x:f>
        <x:v>Prevista</x:v>
      </x:c>
      <x:c r="O140" s="29" t="n">
        <x:f>IF(A140="","",$A$5-C140)</x:f>
        <x:v>-933</x:v>
      </x:c>
      <x:c r="P140" s="131" t="n">
        <x:f>IF(A140="","",IF(AND(O140&gt;0,MAX(K140-L140,0)&gt;0,N140&lt;&gt;"Paga"),ROUND(MAX(K140-L140,0)*'Parâmetros'!$B$34,2),0))</x:f>
        <x:v>0</x:v>
      </x:c>
      <x:c r="Q140" s="131" t="n">
        <x:f>IF(A140="","",IF(AND(O140&gt;0,MAX(K140-L140,0)&gt;0,N140&lt;&gt;"Paga"),ROUND(MAX(K140-L140,0)*'Parâmetros'!$B$35*(O140/'Parâmetros'!$B$33),2),0))</x:f>
        <x:v>0</x:v>
      </x:c>
      <x:c r="R140" s="131" t="n">
        <x:f>IF(A140="","",IF(O140&gt;0,ROUND(MAX(K140-L140,0)+P140+Q140,2),0))</x:f>
        <x:v>0</x:v>
      </x:c>
      <x:c r="S140" s="131" t="n">
        <x:f>IF(A140="","",IF(OR(N140="Paga",O140&gt;0),0,ROUND(IF(K140=0,0,G140*MAX(K140-L140,0)/K140)/(1+'Parâmetros'!$C$13)^((C140-$A$5)/30),2)))</x:f>
        <x:v>49.8</x:v>
      </x:c>
      <x:c r="T140" s="131" t="n">
        <x:f>IF(A140="","",0)</x:f>
        <x:v>0</x:v>
      </x:c>
      <x:c r="U140" s="131" t="n">
        <x:f>IF(A140="","",0)</x:f>
        <x:v>0</x:v>
      </x:c>
      <x:c r="V140" s="131" t="n">
        <x:f>IF(A140="","",IF(N140="Paga",0,IF(O140&gt;0,R140,S140)))</x:f>
        <x:v>49.8</x:v>
      </x:c>
      <x:c r="W140" s="131" t="n">
        <x:f>IF(A140="","",ROUND(MAX(D140-F140,0),2))</x:f>
        <x:v>5186.54</x:v>
      </x:c>
      <x:c r="X140" s="131" t="n">
        <x:f>IF(A140="","",ROUND(SUM($G140:$G$407),2))</x:f>
        <x:v>6091.04</x:v>
      </x:c>
      <x:c r="Y140" s="131" t="n">
        <x:f>IF(A140="","",ROUND(MAX(X140-D140,0),2))</x:f>
        <x:v>846.05</x:v>
      </x:c>
      <x:c r="Z140" s="131" t="n">
        <x:f>IF(A140="","",ROUND(SUM($V140:$V$407),2))</x:f>
        <x:v>3369.58</x:v>
      </x:c>
      <x:c r="AA140" s="131" t="n">
        <x:f>IF(A140="","",ROUND(SUM($K140:$K$407)-Z140,2))</x:f>
        <x:v>32558.19</x:v>
      </x:c>
      <x:c r="AB140" s="77"/>
      <x:c r="AC140" s="36" t="str">
        <x:f>IF(A140="","",IF(O140&gt;0,"Vencido: saldo da fatura + mora",IF(O140&lt;=0,"Vincendo: VP da parcela financeira; comissão/proteção futuras isentas","")))</x:f>
        <x:v>Vincendo: VP da parcela financeira; comissão/proteção futuras isentas</x:v>
      </x:c>
    </x:row>
    <x:row r="141">
      <x:c r="A141" s="129" t="n">
        <x:f>IF(ROW()-7&lt;=Contrato!$C$16,ROW()-7,"")</x:f>
        <x:v>134</x:v>
      </x:c>
      <x:c r="B141" s="129" t="n">
        <x:f>IF(A141="","",Contrato!$C$16)</x:f>
        <x:v>209</x:v>
      </x:c>
      <x:c r="C141" s="130" t="n">
        <x:f>IF(A141="","",IF(AB141&lt;&gt;"",AB141,IF(Contrato!$C$14="Mensal",EDATE(Contrato!$C$13,A141-1),Contrato!$C$13+(A141-1)*IF(Contrato!$C$14="Quinzenal",14,IF(Contrato!$C$14="Semanal",7,1)))))</x:f>
        <x:v>47200</x:v>
      </x:c>
      <x:c r="D141" s="131" t="n">
        <x:f>IF(A141="","",W140)</x:f>
        <x:v>5186.54</x:v>
      </x:c>
      <x:c r="E141" s="131" t="n">
        <x:f>IF(A141="","",ROUND(D141*Simulador!$I$18,2))</x:f>
        <x:v>20.44</x:v>
      </x:c>
      <x:c r="F141" s="131" t="n">
        <x:f>IF(A141="","",ROUND(MIN(D141,MAX(G141-E141,0)),2))</x:f>
        <x:v>58.68</x:v>
      </x:c>
      <x:c r="G141" s="131" t="n">
        <x:f>IF(A141="","",IF(A141&lt;Contrato!$C$16,Contrato!$C$27,Contrato!$C$28))</x:f>
        <x:v>79.12</x:v>
      </x:c>
      <x:c r="H141" s="131" t="n">
        <x:f>IF(A141="","",Contrato!$C$29)</x:f>
        <x:v>199.99</x:v>
      </x:c>
      <x:c r="I141" s="131" t="n">
        <x:f>IF(A141="","",Contrato!$C$30)</x:f>
        <x:v>187.5</x:v>
      </x:c>
      <x:c r="J141" s="131" t="n">
        <x:f>IF(A141="","",Contrato!$C$31)</x:f>
        <x:v>0</x:v>
      </x:c>
      <x:c r="K141" s="131" t="n">
        <x:f>IF(A141="","",ROUND(SUM(G141:J141),2))</x:f>
        <x:v>466.61</x:v>
      </x:c>
      <x:c r="L141" s="80"/>
      <x:c r="M141" s="77"/>
      <x:c r="N141" s="29" t="str">
        <x:f>IF(A141="","",IF(L141&gt;=K141,"Paga",IF(L141&gt;0,"Paga parcialmente",IF(C141&lt;$A$5,"Vencida","Prevista"))))</x:f>
        <x:v>Prevista</x:v>
      </x:c>
      <x:c r="O141" s="29" t="n">
        <x:f>IF(A141="","",$A$5-C141)</x:f>
        <x:v>-940</x:v>
      </x:c>
      <x:c r="P141" s="131" t="n">
        <x:f>IF(A141="","",IF(AND(O141&gt;0,MAX(K141-L141,0)&gt;0,N141&lt;&gt;"Paga"),ROUND(MAX(K141-L141,0)*'Parâmetros'!$B$34,2),0))</x:f>
        <x:v>0</x:v>
      </x:c>
      <x:c r="Q141" s="131" t="n">
        <x:f>IF(A141="","",IF(AND(O141&gt;0,MAX(K141-L141,0)&gt;0,N141&lt;&gt;"Paga"),ROUND(MAX(K141-L141,0)*'Parâmetros'!$B$35*(O141/'Parâmetros'!$B$33),2),0))</x:f>
        <x:v>0</x:v>
      </x:c>
      <x:c r="R141" s="131" t="n">
        <x:f>IF(A141="","",IF(O141&gt;0,ROUND(MAX(K141-L141,0)+P141+Q141,2),0))</x:f>
        <x:v>0</x:v>
      </x:c>
      <x:c r="S141" s="131" t="n">
        <x:f>IF(A141="","",IF(OR(N141="Paga",O141&gt;0),0,ROUND(IF(K141=0,0,G141*MAX(K141-L141,0)/K141)/(1+'Parâmetros'!$C$13)^((C141-$A$5)/30),2)))</x:f>
        <x:v>49.62</x:v>
      </x:c>
      <x:c r="T141" s="131" t="n">
        <x:f>IF(A141="","",0)</x:f>
        <x:v>0</x:v>
      </x:c>
      <x:c r="U141" s="131" t="n">
        <x:f>IF(A141="","",0)</x:f>
        <x:v>0</x:v>
      </x:c>
      <x:c r="V141" s="131" t="n">
        <x:f>IF(A141="","",IF(N141="Paga",0,IF(O141&gt;0,R141,S141)))</x:f>
        <x:v>49.62</x:v>
      </x:c>
      <x:c r="W141" s="131" t="n">
        <x:f>IF(A141="","",ROUND(MAX(D141-F141,0),2))</x:f>
        <x:v>5127.86</x:v>
      </x:c>
      <x:c r="X141" s="131" t="n">
        <x:f>IF(A141="","",ROUND(SUM($G141:$G$407),2))</x:f>
        <x:v>6011.92</x:v>
      </x:c>
      <x:c r="Y141" s="131" t="n">
        <x:f>IF(A141="","",ROUND(MAX(X141-D141,0),2))</x:f>
        <x:v>825.38</x:v>
      </x:c>
      <x:c r="Z141" s="131" t="n">
        <x:f>IF(A141="","",ROUND(SUM($V141:$V$407),2))</x:f>
        <x:v>3319.78</x:v>
      </x:c>
      <x:c r="AA141" s="131" t="n">
        <x:f>IF(A141="","",ROUND(SUM($K141:$K$407)-Z141,2))</x:f>
        <x:v>32141.38</x:v>
      </x:c>
      <x:c r="AB141" s="77"/>
      <x:c r="AC141" s="36" t="str">
        <x:f>IF(A141="","",IF(O141&gt;0,"Vencido: saldo da fatura + mora",IF(O141&lt;=0,"Vincendo: VP da parcela financeira; comissão/proteção futuras isentas","")))</x:f>
        <x:v>Vincendo: VP da parcela financeira; comissão/proteção futuras isentas</x:v>
      </x:c>
    </x:row>
    <x:row r="142">
      <x:c r="A142" s="129" t="n">
        <x:f>IF(ROW()-7&lt;=Contrato!$C$16,ROW()-7,"")</x:f>
        <x:v>135</x:v>
      </x:c>
      <x:c r="B142" s="129" t="n">
        <x:f>IF(A142="","",Contrato!$C$16)</x:f>
        <x:v>209</x:v>
      </x:c>
      <x:c r="C142" s="130" t="n">
        <x:f>IF(A142="","",IF(AB142&lt;&gt;"",AB142,IF(Contrato!$C$14="Mensal",EDATE(Contrato!$C$13,A142-1),Contrato!$C$13+(A142-1)*IF(Contrato!$C$14="Quinzenal",14,IF(Contrato!$C$14="Semanal",7,1)))))</x:f>
        <x:v>47207</x:v>
      </x:c>
      <x:c r="D142" s="131" t="n">
        <x:f>IF(A142="","",W141)</x:f>
        <x:v>5127.86</x:v>
      </x:c>
      <x:c r="E142" s="131" t="n">
        <x:f>IF(A142="","",ROUND(D142*Simulador!$I$18,2))</x:f>
        <x:v>20.21</x:v>
      </x:c>
      <x:c r="F142" s="131" t="n">
        <x:f>IF(A142="","",ROUND(MIN(D142,MAX(G142-E142,0)),2))</x:f>
        <x:v>58.91</x:v>
      </x:c>
      <x:c r="G142" s="131" t="n">
        <x:f>IF(A142="","",IF(A142&lt;Contrato!$C$16,Contrato!$C$27,Contrato!$C$28))</x:f>
        <x:v>79.12</x:v>
      </x:c>
      <x:c r="H142" s="131" t="n">
        <x:f>IF(A142="","",Contrato!$C$29)</x:f>
        <x:v>199.99</x:v>
      </x:c>
      <x:c r="I142" s="131" t="n">
        <x:f>IF(A142="","",Contrato!$C$30)</x:f>
        <x:v>187.5</x:v>
      </x:c>
      <x:c r="J142" s="131" t="n">
        <x:f>IF(A142="","",Contrato!$C$31)</x:f>
        <x:v>0</x:v>
      </x:c>
      <x:c r="K142" s="131" t="n">
        <x:f>IF(A142="","",ROUND(SUM(G142:J142),2))</x:f>
        <x:v>466.61</x:v>
      </x:c>
      <x:c r="L142" s="80"/>
      <x:c r="M142" s="77"/>
      <x:c r="N142" s="29" t="str">
        <x:f>IF(A142="","",IF(L142&gt;=K142,"Paga",IF(L142&gt;0,"Paga parcialmente",IF(C142&lt;$A$5,"Vencida","Prevista"))))</x:f>
        <x:v>Prevista</x:v>
      </x:c>
      <x:c r="O142" s="29" t="n">
        <x:f>IF(A142="","",$A$5-C142)</x:f>
        <x:v>-947</x:v>
      </x:c>
      <x:c r="P142" s="131" t="n">
        <x:f>IF(A142="","",IF(AND(O142&gt;0,MAX(K142-L142,0)&gt;0,N142&lt;&gt;"Paga"),ROUND(MAX(K142-L142,0)*'Parâmetros'!$B$34,2),0))</x:f>
        <x:v>0</x:v>
      </x:c>
      <x:c r="Q142" s="131" t="n">
        <x:f>IF(A142="","",IF(AND(O142&gt;0,MAX(K142-L142,0)&gt;0,N142&lt;&gt;"Paga"),ROUND(MAX(K142-L142,0)*'Parâmetros'!$B$35*(O142/'Parâmetros'!$B$33),2),0))</x:f>
        <x:v>0</x:v>
      </x:c>
      <x:c r="R142" s="131" t="n">
        <x:f>IF(A142="","",IF(O142&gt;0,ROUND(MAX(K142-L142,0)+P142+Q142,2),0))</x:f>
        <x:v>0</x:v>
      </x:c>
      <x:c r="S142" s="131" t="n">
        <x:f>IF(A142="","",IF(OR(N142="Paga",O142&gt;0),0,ROUND(IF(K142=0,0,G142*MAX(K142-L142,0)/K142)/(1+'Parâmetros'!$C$13)^((C142-$A$5)/30),2)))</x:f>
        <x:v>49.45</x:v>
      </x:c>
      <x:c r="T142" s="131" t="n">
        <x:f>IF(A142="","",0)</x:f>
        <x:v>0</x:v>
      </x:c>
      <x:c r="U142" s="131" t="n">
        <x:f>IF(A142="","",0)</x:f>
        <x:v>0</x:v>
      </x:c>
      <x:c r="V142" s="131" t="n">
        <x:f>IF(A142="","",IF(N142="Paga",0,IF(O142&gt;0,R142,S142)))</x:f>
        <x:v>49.45</x:v>
      </x:c>
      <x:c r="W142" s="131" t="n">
        <x:f>IF(A142="","",ROUND(MAX(D142-F142,0),2))</x:f>
        <x:v>5068.95</x:v>
      </x:c>
      <x:c r="X142" s="131" t="n">
        <x:f>IF(A142="","",ROUND(SUM($G142:$G$407),2))</x:f>
        <x:v>5932.8</x:v>
      </x:c>
      <x:c r="Y142" s="131" t="n">
        <x:f>IF(A142="","",ROUND(MAX(X142-D142,0),2))</x:f>
        <x:v>804.94</x:v>
      </x:c>
      <x:c r="Z142" s="131" t="n">
        <x:f>IF(A142="","",ROUND(SUM($V142:$V$407),2))</x:f>
        <x:v>3270.16</x:v>
      </x:c>
      <x:c r="AA142" s="131" t="n">
        <x:f>IF(A142="","",ROUND(SUM($K142:$K$407)-Z142,2))</x:f>
        <x:v>31724.39</x:v>
      </x:c>
      <x:c r="AB142" s="77"/>
      <x:c r="AC142" s="36" t="str">
        <x:f>IF(A142="","",IF(O142&gt;0,"Vencido: saldo da fatura + mora",IF(O142&lt;=0,"Vincendo: VP da parcela financeira; comissão/proteção futuras isentas","")))</x:f>
        <x:v>Vincendo: VP da parcela financeira; comissão/proteção futuras isentas</x:v>
      </x:c>
    </x:row>
    <x:row r="143">
      <x:c r="A143" s="129" t="n">
        <x:f>IF(ROW()-7&lt;=Contrato!$C$16,ROW()-7,"")</x:f>
        <x:v>136</x:v>
      </x:c>
      <x:c r="B143" s="129" t="n">
        <x:f>IF(A143="","",Contrato!$C$16)</x:f>
        <x:v>209</x:v>
      </x:c>
      <x:c r="C143" s="130" t="n">
        <x:f>IF(A143="","",IF(AB143&lt;&gt;"",AB143,IF(Contrato!$C$14="Mensal",EDATE(Contrato!$C$13,A143-1),Contrato!$C$13+(A143-1)*IF(Contrato!$C$14="Quinzenal",14,IF(Contrato!$C$14="Semanal",7,1)))))</x:f>
        <x:v>47214</x:v>
      </x:c>
      <x:c r="D143" s="131" t="n">
        <x:f>IF(A143="","",W142)</x:f>
        <x:v>5068.95</x:v>
      </x:c>
      <x:c r="E143" s="131" t="n">
        <x:f>IF(A143="","",ROUND(D143*Simulador!$I$18,2))</x:f>
        <x:v>19.98</x:v>
      </x:c>
      <x:c r="F143" s="131" t="n">
        <x:f>IF(A143="","",ROUND(MIN(D143,MAX(G143-E143,0)),2))</x:f>
        <x:v>59.14</x:v>
      </x:c>
      <x:c r="G143" s="131" t="n">
        <x:f>IF(A143="","",IF(A143&lt;Contrato!$C$16,Contrato!$C$27,Contrato!$C$28))</x:f>
        <x:v>79.12</x:v>
      </x:c>
      <x:c r="H143" s="131" t="n">
        <x:f>IF(A143="","",Contrato!$C$29)</x:f>
        <x:v>199.99</x:v>
      </x:c>
      <x:c r="I143" s="131" t="n">
        <x:f>IF(A143="","",Contrato!$C$30)</x:f>
        <x:v>187.5</x:v>
      </x:c>
      <x:c r="J143" s="131" t="n">
        <x:f>IF(A143="","",Contrato!$C$31)</x:f>
        <x:v>0</x:v>
      </x:c>
      <x:c r="K143" s="131" t="n">
        <x:f>IF(A143="","",ROUND(SUM(G143:J143),2))</x:f>
        <x:v>466.61</x:v>
      </x:c>
      <x:c r="L143" s="80"/>
      <x:c r="M143" s="77"/>
      <x:c r="N143" s="29" t="str">
        <x:f>IF(A143="","",IF(L143&gt;=K143,"Paga",IF(L143&gt;0,"Paga parcialmente",IF(C143&lt;$A$5,"Vencida","Prevista"))))</x:f>
        <x:v>Prevista</x:v>
      </x:c>
      <x:c r="O143" s="29" t="n">
        <x:f>IF(A143="","",$A$5-C143)</x:f>
        <x:v>-954</x:v>
      </x:c>
      <x:c r="P143" s="131" t="n">
        <x:f>IF(A143="","",IF(AND(O143&gt;0,MAX(K143-L143,0)&gt;0,N143&lt;&gt;"Paga"),ROUND(MAX(K143-L143,0)*'Parâmetros'!$B$34,2),0))</x:f>
        <x:v>0</x:v>
      </x:c>
      <x:c r="Q143" s="131" t="n">
        <x:f>IF(A143="","",IF(AND(O143&gt;0,MAX(K143-L143,0)&gt;0,N143&lt;&gt;"Paga"),ROUND(MAX(K143-L143,0)*'Parâmetros'!$B$35*(O143/'Parâmetros'!$B$33),2),0))</x:f>
        <x:v>0</x:v>
      </x:c>
      <x:c r="R143" s="131" t="n">
        <x:f>IF(A143="","",IF(O143&gt;0,ROUND(MAX(K143-L143,0)+P143+Q143,2),0))</x:f>
        <x:v>0</x:v>
      </x:c>
      <x:c r="S143" s="131" t="n">
        <x:f>IF(A143="","",IF(OR(N143="Paga",O143&gt;0),0,ROUND(IF(K143=0,0,G143*MAX(K143-L143,0)/K143)/(1+'Parâmetros'!$C$13)^((C143-$A$5)/30),2)))</x:f>
        <x:v>49.28</x:v>
      </x:c>
      <x:c r="T143" s="131" t="n">
        <x:f>IF(A143="","",0)</x:f>
        <x:v>0</x:v>
      </x:c>
      <x:c r="U143" s="131" t="n">
        <x:f>IF(A143="","",0)</x:f>
        <x:v>0</x:v>
      </x:c>
      <x:c r="V143" s="131" t="n">
        <x:f>IF(A143="","",IF(N143="Paga",0,IF(O143&gt;0,R143,S143)))</x:f>
        <x:v>49.28</x:v>
      </x:c>
      <x:c r="W143" s="131" t="n">
        <x:f>IF(A143="","",ROUND(MAX(D143-F143,0),2))</x:f>
        <x:v>5009.81</x:v>
      </x:c>
      <x:c r="X143" s="131" t="n">
        <x:f>IF(A143="","",ROUND(SUM($G143:$G$407),2))</x:f>
        <x:v>5853.68</x:v>
      </x:c>
      <x:c r="Y143" s="131" t="n">
        <x:f>IF(A143="","",ROUND(MAX(X143-D143,0),2))</x:f>
        <x:v>784.73</x:v>
      </x:c>
      <x:c r="Z143" s="131" t="n">
        <x:f>IF(A143="","",ROUND(SUM($V143:$V$407),2))</x:f>
        <x:v>3220.71</x:v>
      </x:c>
      <x:c r="AA143" s="131" t="n">
        <x:f>IF(A143="","",ROUND(SUM($K143:$K$407)-Z143,2))</x:f>
        <x:v>31307.23</x:v>
      </x:c>
      <x:c r="AB143" s="77"/>
      <x:c r="AC143" s="36" t="str">
        <x:f>IF(A143="","",IF(O143&gt;0,"Vencido: saldo da fatura + mora",IF(O143&lt;=0,"Vincendo: VP da parcela financeira; comissão/proteção futuras isentas","")))</x:f>
        <x:v>Vincendo: VP da parcela financeira; comissão/proteção futuras isentas</x:v>
      </x:c>
    </x:row>
    <x:row r="144">
      <x:c r="A144" s="129" t="n">
        <x:f>IF(ROW()-7&lt;=Contrato!$C$16,ROW()-7,"")</x:f>
        <x:v>137</x:v>
      </x:c>
      <x:c r="B144" s="129" t="n">
        <x:f>IF(A144="","",Contrato!$C$16)</x:f>
        <x:v>209</x:v>
      </x:c>
      <x:c r="C144" s="130" t="n">
        <x:f>IF(A144="","",IF(AB144&lt;&gt;"",AB144,IF(Contrato!$C$14="Mensal",EDATE(Contrato!$C$13,A144-1),Contrato!$C$13+(A144-1)*IF(Contrato!$C$14="Quinzenal",14,IF(Contrato!$C$14="Semanal",7,1)))))</x:f>
        <x:v>47221</x:v>
      </x:c>
      <x:c r="D144" s="131" t="n">
        <x:f>IF(A144="","",W143)</x:f>
        <x:v>5009.81</x:v>
      </x:c>
      <x:c r="E144" s="131" t="n">
        <x:f>IF(A144="","",ROUND(D144*Simulador!$I$18,2))</x:f>
        <x:v>19.74</x:v>
      </x:c>
      <x:c r="F144" s="131" t="n">
        <x:f>IF(A144="","",ROUND(MIN(D144,MAX(G144-E144,0)),2))</x:f>
        <x:v>59.38</x:v>
      </x:c>
      <x:c r="G144" s="131" t="n">
        <x:f>IF(A144="","",IF(A144&lt;Contrato!$C$16,Contrato!$C$27,Contrato!$C$28))</x:f>
        <x:v>79.12</x:v>
      </x:c>
      <x:c r="H144" s="131" t="n">
        <x:f>IF(A144="","",Contrato!$C$29)</x:f>
        <x:v>199.99</x:v>
      </x:c>
      <x:c r="I144" s="131" t="n">
        <x:f>IF(A144="","",Contrato!$C$30)</x:f>
        <x:v>187.5</x:v>
      </x:c>
      <x:c r="J144" s="131" t="n">
        <x:f>IF(A144="","",Contrato!$C$31)</x:f>
        <x:v>0</x:v>
      </x:c>
      <x:c r="K144" s="131" t="n">
        <x:f>IF(A144="","",ROUND(SUM(G144:J144),2))</x:f>
        <x:v>466.61</x:v>
      </x:c>
      <x:c r="L144" s="80"/>
      <x:c r="M144" s="77"/>
      <x:c r="N144" s="29" t="str">
        <x:f>IF(A144="","",IF(L144&gt;=K144,"Paga",IF(L144&gt;0,"Paga parcialmente",IF(C144&lt;$A$5,"Vencida","Prevista"))))</x:f>
        <x:v>Prevista</x:v>
      </x:c>
      <x:c r="O144" s="29" t="n">
        <x:f>IF(A144="","",$A$5-C144)</x:f>
        <x:v>-961</x:v>
      </x:c>
      <x:c r="P144" s="131" t="n">
        <x:f>IF(A144="","",IF(AND(O144&gt;0,MAX(K144-L144,0)&gt;0,N144&lt;&gt;"Paga"),ROUND(MAX(K144-L144,0)*'Parâmetros'!$B$34,2),0))</x:f>
        <x:v>0</x:v>
      </x:c>
      <x:c r="Q144" s="131" t="n">
        <x:f>IF(A144="","",IF(AND(O144&gt;0,MAX(K144-L144,0)&gt;0,N144&lt;&gt;"Paga"),ROUND(MAX(K144-L144,0)*'Parâmetros'!$B$35*(O144/'Parâmetros'!$B$33),2),0))</x:f>
        <x:v>0</x:v>
      </x:c>
      <x:c r="R144" s="131" t="n">
        <x:f>IF(A144="","",IF(O144&gt;0,ROUND(MAX(K144-L144,0)+P144+Q144,2),0))</x:f>
        <x:v>0</x:v>
      </x:c>
      <x:c r="S144" s="131" t="n">
        <x:f>IF(A144="","",IF(OR(N144="Paga",O144&gt;0),0,ROUND(IF(K144=0,0,G144*MAX(K144-L144,0)/K144)/(1+'Parâmetros'!$C$13)^((C144-$A$5)/30),2)))</x:f>
        <x:v>49.11</x:v>
      </x:c>
      <x:c r="T144" s="131" t="n">
        <x:f>IF(A144="","",0)</x:f>
        <x:v>0</x:v>
      </x:c>
      <x:c r="U144" s="131" t="n">
        <x:f>IF(A144="","",0)</x:f>
        <x:v>0</x:v>
      </x:c>
      <x:c r="V144" s="131" t="n">
        <x:f>IF(A144="","",IF(N144="Paga",0,IF(O144&gt;0,R144,S144)))</x:f>
        <x:v>49.11</x:v>
      </x:c>
      <x:c r="W144" s="131" t="n">
        <x:f>IF(A144="","",ROUND(MAX(D144-F144,0),2))</x:f>
        <x:v>4950.43</x:v>
      </x:c>
      <x:c r="X144" s="131" t="n">
        <x:f>IF(A144="","",ROUND(SUM($G144:$G$407),2))</x:f>
        <x:v>5774.56</x:v>
      </x:c>
      <x:c r="Y144" s="131" t="n">
        <x:f>IF(A144="","",ROUND(MAX(X144-D144,0),2))</x:f>
        <x:v>764.75</x:v>
      </x:c>
      <x:c r="Z144" s="131" t="n">
        <x:f>IF(A144="","",ROUND(SUM($V144:$V$407),2))</x:f>
        <x:v>3171.43</x:v>
      </x:c>
      <x:c r="AA144" s="131" t="n">
        <x:f>IF(A144="","",ROUND(SUM($K144:$K$407)-Z144,2))</x:f>
        <x:v>30889.9</x:v>
      </x:c>
      <x:c r="AB144" s="77"/>
      <x:c r="AC144" s="36" t="str">
        <x:f>IF(A144="","",IF(O144&gt;0,"Vencido: saldo da fatura + mora",IF(O144&lt;=0,"Vincendo: VP da parcela financeira; comissão/proteção futuras isentas","")))</x:f>
        <x:v>Vincendo: VP da parcela financeira; comissão/proteção futuras isentas</x:v>
      </x:c>
    </x:row>
    <x:row r="145">
      <x:c r="A145" s="129" t="n">
        <x:f>IF(ROW()-7&lt;=Contrato!$C$16,ROW()-7,"")</x:f>
        <x:v>138</x:v>
      </x:c>
      <x:c r="B145" s="129" t="n">
        <x:f>IF(A145="","",Contrato!$C$16)</x:f>
        <x:v>209</x:v>
      </x:c>
      <x:c r="C145" s="130" t="n">
        <x:f>IF(A145="","",IF(AB145&lt;&gt;"",AB145,IF(Contrato!$C$14="Mensal",EDATE(Contrato!$C$13,A145-1),Contrato!$C$13+(A145-1)*IF(Contrato!$C$14="Quinzenal",14,IF(Contrato!$C$14="Semanal",7,1)))))</x:f>
        <x:v>47228</x:v>
      </x:c>
      <x:c r="D145" s="131" t="n">
        <x:f>IF(A145="","",W144)</x:f>
        <x:v>4950.43</x:v>
      </x:c>
      <x:c r="E145" s="131" t="n">
        <x:f>IF(A145="","",ROUND(D145*Simulador!$I$18,2))</x:f>
        <x:v>19.51</x:v>
      </x:c>
      <x:c r="F145" s="131" t="n">
        <x:f>IF(A145="","",ROUND(MIN(D145,MAX(G145-E145,0)),2))</x:f>
        <x:v>59.61</x:v>
      </x:c>
      <x:c r="G145" s="131" t="n">
        <x:f>IF(A145="","",IF(A145&lt;Contrato!$C$16,Contrato!$C$27,Contrato!$C$28))</x:f>
        <x:v>79.12</x:v>
      </x:c>
      <x:c r="H145" s="131" t="n">
        <x:f>IF(A145="","",Contrato!$C$29)</x:f>
        <x:v>199.99</x:v>
      </x:c>
      <x:c r="I145" s="131" t="n">
        <x:f>IF(A145="","",Contrato!$C$30)</x:f>
        <x:v>187.5</x:v>
      </x:c>
      <x:c r="J145" s="131" t="n">
        <x:f>IF(A145="","",Contrato!$C$31)</x:f>
        <x:v>0</x:v>
      </x:c>
      <x:c r="K145" s="131" t="n">
        <x:f>IF(A145="","",ROUND(SUM(G145:J145),2))</x:f>
        <x:v>466.61</x:v>
      </x:c>
      <x:c r="L145" s="80"/>
      <x:c r="M145" s="77"/>
      <x:c r="N145" s="29" t="str">
        <x:f>IF(A145="","",IF(L145&gt;=K145,"Paga",IF(L145&gt;0,"Paga parcialmente",IF(C145&lt;$A$5,"Vencida","Prevista"))))</x:f>
        <x:v>Prevista</x:v>
      </x:c>
      <x:c r="O145" s="29" t="n">
        <x:f>IF(A145="","",$A$5-C145)</x:f>
        <x:v>-968</x:v>
      </x:c>
      <x:c r="P145" s="131" t="n">
        <x:f>IF(A145="","",IF(AND(O145&gt;0,MAX(K145-L145,0)&gt;0,N145&lt;&gt;"Paga"),ROUND(MAX(K145-L145,0)*'Parâmetros'!$B$34,2),0))</x:f>
        <x:v>0</x:v>
      </x:c>
      <x:c r="Q145" s="131" t="n">
        <x:f>IF(A145="","",IF(AND(O145&gt;0,MAX(K145-L145,0)&gt;0,N145&lt;&gt;"Paga"),ROUND(MAX(K145-L145,0)*'Parâmetros'!$B$35*(O145/'Parâmetros'!$B$33),2),0))</x:f>
        <x:v>0</x:v>
      </x:c>
      <x:c r="R145" s="131" t="n">
        <x:f>IF(A145="","",IF(O145&gt;0,ROUND(MAX(K145-L145,0)+P145+Q145,2),0))</x:f>
        <x:v>0</x:v>
      </x:c>
      <x:c r="S145" s="131" t="n">
        <x:f>IF(A145="","",IF(OR(N145="Paga",O145&gt;0),0,ROUND(IF(K145=0,0,G145*MAX(K145-L145,0)/K145)/(1+'Parâmetros'!$C$13)^((C145-$A$5)/30),2)))</x:f>
        <x:v>48.94</x:v>
      </x:c>
      <x:c r="T145" s="131" t="n">
        <x:f>IF(A145="","",0)</x:f>
        <x:v>0</x:v>
      </x:c>
      <x:c r="U145" s="131" t="n">
        <x:f>IF(A145="","",0)</x:f>
        <x:v>0</x:v>
      </x:c>
      <x:c r="V145" s="131" t="n">
        <x:f>IF(A145="","",IF(N145="Paga",0,IF(O145&gt;0,R145,S145)))</x:f>
        <x:v>48.94</x:v>
      </x:c>
      <x:c r="W145" s="131" t="n">
        <x:f>IF(A145="","",ROUND(MAX(D145-F145,0),2))</x:f>
        <x:v>4890.82</x:v>
      </x:c>
      <x:c r="X145" s="131" t="n">
        <x:f>IF(A145="","",ROUND(SUM($G145:$G$407),2))</x:f>
        <x:v>5695.44</x:v>
      </x:c>
      <x:c r="Y145" s="131" t="n">
        <x:f>IF(A145="","",ROUND(MAX(X145-D145,0),2))</x:f>
        <x:v>745.01</x:v>
      </x:c>
      <x:c r="Z145" s="131" t="n">
        <x:f>IF(A145="","",ROUND(SUM($V145:$V$407),2))</x:f>
        <x:v>3122.32</x:v>
      </x:c>
      <x:c r="AA145" s="131" t="n">
        <x:f>IF(A145="","",ROUND(SUM($K145:$K$407)-Z145,2))</x:f>
        <x:v>30472.4</x:v>
      </x:c>
      <x:c r="AB145" s="77"/>
      <x:c r="AC145" s="36" t="str">
        <x:f>IF(A145="","",IF(O145&gt;0,"Vencido: saldo da fatura + mora",IF(O145&lt;=0,"Vincendo: VP da parcela financeira; comissão/proteção futuras isentas","")))</x:f>
        <x:v>Vincendo: VP da parcela financeira; comissão/proteção futuras isentas</x:v>
      </x:c>
    </x:row>
    <x:row r="146">
      <x:c r="A146" s="129" t="n">
        <x:f>IF(ROW()-7&lt;=Contrato!$C$16,ROW()-7,"")</x:f>
        <x:v>139</x:v>
      </x:c>
      <x:c r="B146" s="129" t="n">
        <x:f>IF(A146="","",Contrato!$C$16)</x:f>
        <x:v>209</x:v>
      </x:c>
      <x:c r="C146" s="130" t="n">
        <x:f>IF(A146="","",IF(AB146&lt;&gt;"",AB146,IF(Contrato!$C$14="Mensal",EDATE(Contrato!$C$13,A146-1),Contrato!$C$13+(A146-1)*IF(Contrato!$C$14="Quinzenal",14,IF(Contrato!$C$14="Semanal",7,1)))))</x:f>
        <x:v>47235</x:v>
      </x:c>
      <x:c r="D146" s="131" t="n">
        <x:f>IF(A146="","",W145)</x:f>
        <x:v>4890.82</x:v>
      </x:c>
      <x:c r="E146" s="131" t="n">
        <x:f>IF(A146="","",ROUND(D146*Simulador!$I$18,2))</x:f>
        <x:v>19.28</x:v>
      </x:c>
      <x:c r="F146" s="131" t="n">
        <x:f>IF(A146="","",ROUND(MIN(D146,MAX(G146-E146,0)),2))</x:f>
        <x:v>59.84</x:v>
      </x:c>
      <x:c r="G146" s="131" t="n">
        <x:f>IF(A146="","",IF(A146&lt;Contrato!$C$16,Contrato!$C$27,Contrato!$C$28))</x:f>
        <x:v>79.12</x:v>
      </x:c>
      <x:c r="H146" s="131" t="n">
        <x:f>IF(A146="","",Contrato!$C$29)</x:f>
        <x:v>199.99</x:v>
      </x:c>
      <x:c r="I146" s="131" t="n">
        <x:f>IF(A146="","",Contrato!$C$30)</x:f>
        <x:v>187.5</x:v>
      </x:c>
      <x:c r="J146" s="131" t="n">
        <x:f>IF(A146="","",Contrato!$C$31)</x:f>
        <x:v>0</x:v>
      </x:c>
      <x:c r="K146" s="131" t="n">
        <x:f>IF(A146="","",ROUND(SUM(G146:J146),2))</x:f>
        <x:v>466.61</x:v>
      </x:c>
      <x:c r="L146" s="80"/>
      <x:c r="M146" s="77"/>
      <x:c r="N146" s="29" t="str">
        <x:f>IF(A146="","",IF(L146&gt;=K146,"Paga",IF(L146&gt;0,"Paga parcialmente",IF(C146&lt;$A$5,"Vencida","Prevista"))))</x:f>
        <x:v>Prevista</x:v>
      </x:c>
      <x:c r="O146" s="29" t="n">
        <x:f>IF(A146="","",$A$5-C146)</x:f>
        <x:v>-975</x:v>
      </x:c>
      <x:c r="P146" s="131" t="n">
        <x:f>IF(A146="","",IF(AND(O146&gt;0,MAX(K146-L146,0)&gt;0,N146&lt;&gt;"Paga"),ROUND(MAX(K146-L146,0)*'Parâmetros'!$B$34,2),0))</x:f>
        <x:v>0</x:v>
      </x:c>
      <x:c r="Q146" s="131" t="n">
        <x:f>IF(A146="","",IF(AND(O146&gt;0,MAX(K146-L146,0)&gt;0,N146&lt;&gt;"Paga"),ROUND(MAX(K146-L146,0)*'Parâmetros'!$B$35*(O146/'Parâmetros'!$B$33),2),0))</x:f>
        <x:v>0</x:v>
      </x:c>
      <x:c r="R146" s="131" t="n">
        <x:f>IF(A146="","",IF(O146&gt;0,ROUND(MAX(K146-L146,0)+P146+Q146,2),0))</x:f>
        <x:v>0</x:v>
      </x:c>
      <x:c r="S146" s="131" t="n">
        <x:f>IF(A146="","",IF(OR(N146="Paga",O146&gt;0),0,ROUND(IF(K146=0,0,G146*MAX(K146-L146,0)/K146)/(1+'Parâmetros'!$C$13)^((C146-$A$5)/30),2)))</x:f>
        <x:v>48.77</x:v>
      </x:c>
      <x:c r="T146" s="131" t="n">
        <x:f>IF(A146="","",0)</x:f>
        <x:v>0</x:v>
      </x:c>
      <x:c r="U146" s="131" t="n">
        <x:f>IF(A146="","",0)</x:f>
        <x:v>0</x:v>
      </x:c>
      <x:c r="V146" s="131" t="n">
        <x:f>IF(A146="","",IF(N146="Paga",0,IF(O146&gt;0,R146,S146)))</x:f>
        <x:v>48.77</x:v>
      </x:c>
      <x:c r="W146" s="131" t="n">
        <x:f>IF(A146="","",ROUND(MAX(D146-F146,0),2))</x:f>
        <x:v>4830.98</x:v>
      </x:c>
      <x:c r="X146" s="131" t="n">
        <x:f>IF(A146="","",ROUND(SUM($G146:$G$407),2))</x:f>
        <x:v>5616.32</x:v>
      </x:c>
      <x:c r="Y146" s="131" t="n">
        <x:f>IF(A146="","",ROUND(MAX(X146-D146,0),2))</x:f>
        <x:v>725.5</x:v>
      </x:c>
      <x:c r="Z146" s="131" t="n">
        <x:f>IF(A146="","",ROUND(SUM($V146:$V$407),2))</x:f>
        <x:v>3073.38</x:v>
      </x:c>
      <x:c r="AA146" s="131" t="n">
        <x:f>IF(A146="","",ROUND(SUM($K146:$K$407)-Z146,2))</x:f>
        <x:v>30054.73</x:v>
      </x:c>
      <x:c r="AB146" s="77"/>
      <x:c r="AC146" s="36" t="str">
        <x:f>IF(A146="","",IF(O146&gt;0,"Vencido: saldo da fatura + mora",IF(O146&lt;=0,"Vincendo: VP da parcela financeira; comissão/proteção futuras isentas","")))</x:f>
        <x:v>Vincendo: VP da parcela financeira; comissão/proteção futuras isentas</x:v>
      </x:c>
    </x:row>
    <x:row r="147">
      <x:c r="A147" s="129" t="n">
        <x:f>IF(ROW()-7&lt;=Contrato!$C$16,ROW()-7,"")</x:f>
        <x:v>140</x:v>
      </x:c>
      <x:c r="B147" s="129" t="n">
        <x:f>IF(A147="","",Contrato!$C$16)</x:f>
        <x:v>209</x:v>
      </x:c>
      <x:c r="C147" s="130" t="n">
        <x:f>IF(A147="","",IF(AB147&lt;&gt;"",AB147,IF(Contrato!$C$14="Mensal",EDATE(Contrato!$C$13,A147-1),Contrato!$C$13+(A147-1)*IF(Contrato!$C$14="Quinzenal",14,IF(Contrato!$C$14="Semanal",7,1)))))</x:f>
        <x:v>47242</x:v>
      </x:c>
      <x:c r="D147" s="131" t="n">
        <x:f>IF(A147="","",W146)</x:f>
        <x:v>4830.98</x:v>
      </x:c>
      <x:c r="E147" s="131" t="n">
        <x:f>IF(A147="","",ROUND(D147*Simulador!$I$18,2))</x:f>
        <x:v>19.04</x:v>
      </x:c>
      <x:c r="F147" s="131" t="n">
        <x:f>IF(A147="","",ROUND(MIN(D147,MAX(G147-E147,0)),2))</x:f>
        <x:v>60.08</x:v>
      </x:c>
      <x:c r="G147" s="131" t="n">
        <x:f>IF(A147="","",IF(A147&lt;Contrato!$C$16,Contrato!$C$27,Contrato!$C$28))</x:f>
        <x:v>79.12</x:v>
      </x:c>
      <x:c r="H147" s="131" t="n">
        <x:f>IF(A147="","",Contrato!$C$29)</x:f>
        <x:v>199.99</x:v>
      </x:c>
      <x:c r="I147" s="131" t="n">
        <x:f>IF(A147="","",Contrato!$C$30)</x:f>
        <x:v>187.5</x:v>
      </x:c>
      <x:c r="J147" s="131" t="n">
        <x:f>IF(A147="","",Contrato!$C$31)</x:f>
        <x:v>0</x:v>
      </x:c>
      <x:c r="K147" s="131" t="n">
        <x:f>IF(A147="","",ROUND(SUM(G147:J147),2))</x:f>
        <x:v>466.61</x:v>
      </x:c>
      <x:c r="L147" s="80"/>
      <x:c r="M147" s="77"/>
      <x:c r="N147" s="29" t="str">
        <x:f>IF(A147="","",IF(L147&gt;=K147,"Paga",IF(L147&gt;0,"Paga parcialmente",IF(C147&lt;$A$5,"Vencida","Prevista"))))</x:f>
        <x:v>Prevista</x:v>
      </x:c>
      <x:c r="O147" s="29" t="n">
        <x:f>IF(A147="","",$A$5-C147)</x:f>
        <x:v>-982</x:v>
      </x:c>
      <x:c r="P147" s="131" t="n">
        <x:f>IF(A147="","",IF(AND(O147&gt;0,MAX(K147-L147,0)&gt;0,N147&lt;&gt;"Paga"),ROUND(MAX(K147-L147,0)*'Parâmetros'!$B$34,2),0))</x:f>
        <x:v>0</x:v>
      </x:c>
      <x:c r="Q147" s="131" t="n">
        <x:f>IF(A147="","",IF(AND(O147&gt;0,MAX(K147-L147,0)&gt;0,N147&lt;&gt;"Paga"),ROUND(MAX(K147-L147,0)*'Parâmetros'!$B$35*(O147/'Parâmetros'!$B$33),2),0))</x:f>
        <x:v>0</x:v>
      </x:c>
      <x:c r="R147" s="131" t="n">
        <x:f>IF(A147="","",IF(O147&gt;0,ROUND(MAX(K147-L147,0)+P147+Q147,2),0))</x:f>
        <x:v>0</x:v>
      </x:c>
      <x:c r="S147" s="131" t="n">
        <x:f>IF(A147="","",IF(OR(N147="Paga",O147&gt;0),0,ROUND(IF(K147=0,0,G147*MAX(K147-L147,0)/K147)/(1+'Parâmetros'!$C$13)^((C147-$A$5)/30),2)))</x:f>
        <x:v>48.6</x:v>
      </x:c>
      <x:c r="T147" s="131" t="n">
        <x:f>IF(A147="","",0)</x:f>
        <x:v>0</x:v>
      </x:c>
      <x:c r="U147" s="131" t="n">
        <x:f>IF(A147="","",0)</x:f>
        <x:v>0</x:v>
      </x:c>
      <x:c r="V147" s="131" t="n">
        <x:f>IF(A147="","",IF(N147="Paga",0,IF(O147&gt;0,R147,S147)))</x:f>
        <x:v>48.6</x:v>
      </x:c>
      <x:c r="W147" s="131" t="n">
        <x:f>IF(A147="","",ROUND(MAX(D147-F147,0),2))</x:f>
        <x:v>4770.9</x:v>
      </x:c>
      <x:c r="X147" s="131" t="n">
        <x:f>IF(A147="","",ROUND(SUM($G147:$G$407),2))</x:f>
        <x:v>5537.2</x:v>
      </x:c>
      <x:c r="Y147" s="131" t="n">
        <x:f>IF(A147="","",ROUND(MAX(X147-D147,0),2))</x:f>
        <x:v>706.22</x:v>
      </x:c>
      <x:c r="Z147" s="131" t="n">
        <x:f>IF(A147="","",ROUND(SUM($V147:$V$407),2))</x:f>
        <x:v>3024.61</x:v>
      </x:c>
      <x:c r="AA147" s="131" t="n">
        <x:f>IF(A147="","",ROUND(SUM($K147:$K$407)-Z147,2))</x:f>
        <x:v>29636.89</x:v>
      </x:c>
      <x:c r="AB147" s="77"/>
      <x:c r="AC147" s="36" t="str">
        <x:f>IF(A147="","",IF(O147&gt;0,"Vencido: saldo da fatura + mora",IF(O147&lt;=0,"Vincendo: VP da parcela financeira; comissão/proteção futuras isentas","")))</x:f>
        <x:v>Vincendo: VP da parcela financeira; comissão/proteção futuras isentas</x:v>
      </x:c>
    </x:row>
    <x:row r="148">
      <x:c r="A148" s="129" t="n">
        <x:f>IF(ROW()-7&lt;=Contrato!$C$16,ROW()-7,"")</x:f>
        <x:v>141</x:v>
      </x:c>
      <x:c r="B148" s="129" t="n">
        <x:f>IF(A148="","",Contrato!$C$16)</x:f>
        <x:v>209</x:v>
      </x:c>
      <x:c r="C148" s="130" t="n">
        <x:f>IF(A148="","",IF(AB148&lt;&gt;"",AB148,IF(Contrato!$C$14="Mensal",EDATE(Contrato!$C$13,A148-1),Contrato!$C$13+(A148-1)*IF(Contrato!$C$14="Quinzenal",14,IF(Contrato!$C$14="Semanal",7,1)))))</x:f>
        <x:v>47249</x:v>
      </x:c>
      <x:c r="D148" s="131" t="n">
        <x:f>IF(A148="","",W147)</x:f>
        <x:v>4770.9</x:v>
      </x:c>
      <x:c r="E148" s="131" t="n">
        <x:f>IF(A148="","",ROUND(D148*Simulador!$I$18,2))</x:f>
        <x:v>18.8</x:v>
      </x:c>
      <x:c r="F148" s="131" t="n">
        <x:f>IF(A148="","",ROUND(MIN(D148,MAX(G148-E148,0)),2))</x:f>
        <x:v>60.32</x:v>
      </x:c>
      <x:c r="G148" s="131" t="n">
        <x:f>IF(A148="","",IF(A148&lt;Contrato!$C$16,Contrato!$C$27,Contrato!$C$28))</x:f>
        <x:v>79.12</x:v>
      </x:c>
      <x:c r="H148" s="131" t="n">
        <x:f>IF(A148="","",Contrato!$C$29)</x:f>
        <x:v>199.99</x:v>
      </x:c>
      <x:c r="I148" s="131" t="n">
        <x:f>IF(A148="","",Contrato!$C$30)</x:f>
        <x:v>187.5</x:v>
      </x:c>
      <x:c r="J148" s="131" t="n">
        <x:f>IF(A148="","",Contrato!$C$31)</x:f>
        <x:v>0</x:v>
      </x:c>
      <x:c r="K148" s="131" t="n">
        <x:f>IF(A148="","",ROUND(SUM(G148:J148),2))</x:f>
        <x:v>466.61</x:v>
      </x:c>
      <x:c r="L148" s="80"/>
      <x:c r="M148" s="77"/>
      <x:c r="N148" s="29" t="str">
        <x:f>IF(A148="","",IF(L148&gt;=K148,"Paga",IF(L148&gt;0,"Paga parcialmente",IF(C148&lt;$A$5,"Vencida","Prevista"))))</x:f>
        <x:v>Prevista</x:v>
      </x:c>
      <x:c r="O148" s="29" t="n">
        <x:f>IF(A148="","",$A$5-C148)</x:f>
        <x:v>-989</x:v>
      </x:c>
      <x:c r="P148" s="131" t="n">
        <x:f>IF(A148="","",IF(AND(O148&gt;0,MAX(K148-L148,0)&gt;0,N148&lt;&gt;"Paga"),ROUND(MAX(K148-L148,0)*'Parâmetros'!$B$34,2),0))</x:f>
        <x:v>0</x:v>
      </x:c>
      <x:c r="Q148" s="131" t="n">
        <x:f>IF(A148="","",IF(AND(O148&gt;0,MAX(K148-L148,0)&gt;0,N148&lt;&gt;"Paga"),ROUND(MAX(K148-L148,0)*'Parâmetros'!$B$35*(O148/'Parâmetros'!$B$33),2),0))</x:f>
        <x:v>0</x:v>
      </x:c>
      <x:c r="R148" s="131" t="n">
        <x:f>IF(A148="","",IF(O148&gt;0,ROUND(MAX(K148-L148,0)+P148+Q148,2),0))</x:f>
        <x:v>0</x:v>
      </x:c>
      <x:c r="S148" s="131" t="n">
        <x:f>IF(A148="","",IF(OR(N148="Paga",O148&gt;0),0,ROUND(IF(K148=0,0,G148*MAX(K148-L148,0)/K148)/(1+'Parâmetros'!$C$13)^((C148-$A$5)/30),2)))</x:f>
        <x:v>48.43</x:v>
      </x:c>
      <x:c r="T148" s="131" t="n">
        <x:f>IF(A148="","",0)</x:f>
        <x:v>0</x:v>
      </x:c>
      <x:c r="U148" s="131" t="n">
        <x:f>IF(A148="","",0)</x:f>
        <x:v>0</x:v>
      </x:c>
      <x:c r="V148" s="131" t="n">
        <x:f>IF(A148="","",IF(N148="Paga",0,IF(O148&gt;0,R148,S148)))</x:f>
        <x:v>48.43</x:v>
      </x:c>
      <x:c r="W148" s="131" t="n">
        <x:f>IF(A148="","",ROUND(MAX(D148-F148,0),2))</x:f>
        <x:v>4710.58</x:v>
      </x:c>
      <x:c r="X148" s="131" t="n">
        <x:f>IF(A148="","",ROUND(SUM($G148:$G$407),2))</x:f>
        <x:v>5458.08</x:v>
      </x:c>
      <x:c r="Y148" s="131" t="n">
        <x:f>IF(A148="","",ROUND(MAX(X148-D148,0),2))</x:f>
        <x:v>687.18</x:v>
      </x:c>
      <x:c r="Z148" s="131" t="n">
        <x:f>IF(A148="","",ROUND(SUM($V148:$V$407),2))</x:f>
        <x:v>2976.01</x:v>
      </x:c>
      <x:c r="AA148" s="131" t="n">
        <x:f>IF(A148="","",ROUND(SUM($K148:$K$407)-Z148,2))</x:f>
        <x:v>29218.88</x:v>
      </x:c>
      <x:c r="AB148" s="77"/>
      <x:c r="AC148" s="36" t="str">
        <x:f>IF(A148="","",IF(O148&gt;0,"Vencido: saldo da fatura + mora",IF(O148&lt;=0,"Vincendo: VP da parcela financeira; comissão/proteção futuras isentas","")))</x:f>
        <x:v>Vincendo: VP da parcela financeira; comissão/proteção futuras isentas</x:v>
      </x:c>
    </x:row>
    <x:row r="149">
      <x:c r="A149" s="129" t="n">
        <x:f>IF(ROW()-7&lt;=Contrato!$C$16,ROW()-7,"")</x:f>
        <x:v>142</x:v>
      </x:c>
      <x:c r="B149" s="129" t="n">
        <x:f>IF(A149="","",Contrato!$C$16)</x:f>
        <x:v>209</x:v>
      </x:c>
      <x:c r="C149" s="130" t="n">
        <x:f>IF(A149="","",IF(AB149&lt;&gt;"",AB149,IF(Contrato!$C$14="Mensal",EDATE(Contrato!$C$13,A149-1),Contrato!$C$13+(A149-1)*IF(Contrato!$C$14="Quinzenal",14,IF(Contrato!$C$14="Semanal",7,1)))))</x:f>
        <x:v>47256</x:v>
      </x:c>
      <x:c r="D149" s="131" t="n">
        <x:f>IF(A149="","",W148)</x:f>
        <x:v>4710.58</x:v>
      </x:c>
      <x:c r="E149" s="131" t="n">
        <x:f>IF(A149="","",ROUND(D149*Simulador!$I$18,2))</x:f>
        <x:v>18.56</x:v>
      </x:c>
      <x:c r="F149" s="131" t="n">
        <x:f>IF(A149="","",ROUND(MIN(D149,MAX(G149-E149,0)),2))</x:f>
        <x:v>60.56</x:v>
      </x:c>
      <x:c r="G149" s="131" t="n">
        <x:f>IF(A149="","",IF(A149&lt;Contrato!$C$16,Contrato!$C$27,Contrato!$C$28))</x:f>
        <x:v>79.12</x:v>
      </x:c>
      <x:c r="H149" s="131" t="n">
        <x:f>IF(A149="","",Contrato!$C$29)</x:f>
        <x:v>199.99</x:v>
      </x:c>
      <x:c r="I149" s="131" t="n">
        <x:f>IF(A149="","",Contrato!$C$30)</x:f>
        <x:v>187.5</x:v>
      </x:c>
      <x:c r="J149" s="131" t="n">
        <x:f>IF(A149="","",Contrato!$C$31)</x:f>
        <x:v>0</x:v>
      </x:c>
      <x:c r="K149" s="131" t="n">
        <x:f>IF(A149="","",ROUND(SUM(G149:J149),2))</x:f>
        <x:v>466.61</x:v>
      </x:c>
      <x:c r="L149" s="80"/>
      <x:c r="M149" s="77"/>
      <x:c r="N149" s="29" t="str">
        <x:f>IF(A149="","",IF(L149&gt;=K149,"Paga",IF(L149&gt;0,"Paga parcialmente",IF(C149&lt;$A$5,"Vencida","Prevista"))))</x:f>
        <x:v>Prevista</x:v>
      </x:c>
      <x:c r="O149" s="29" t="n">
        <x:f>IF(A149="","",$A$5-C149)</x:f>
        <x:v>-996</x:v>
      </x:c>
      <x:c r="P149" s="131" t="n">
        <x:f>IF(A149="","",IF(AND(O149&gt;0,MAX(K149-L149,0)&gt;0,N149&lt;&gt;"Paga"),ROUND(MAX(K149-L149,0)*'Parâmetros'!$B$34,2),0))</x:f>
        <x:v>0</x:v>
      </x:c>
      <x:c r="Q149" s="131" t="n">
        <x:f>IF(A149="","",IF(AND(O149&gt;0,MAX(K149-L149,0)&gt;0,N149&lt;&gt;"Paga"),ROUND(MAX(K149-L149,0)*'Parâmetros'!$B$35*(O149/'Parâmetros'!$B$33),2),0))</x:f>
        <x:v>0</x:v>
      </x:c>
      <x:c r="R149" s="131" t="n">
        <x:f>IF(A149="","",IF(O149&gt;0,ROUND(MAX(K149-L149,0)+P149+Q149,2),0))</x:f>
        <x:v>0</x:v>
      </x:c>
      <x:c r="S149" s="131" t="n">
        <x:f>IF(A149="","",IF(OR(N149="Paga",O149&gt;0),0,ROUND(IF(K149=0,0,G149*MAX(K149-L149,0)/K149)/(1+'Parâmetros'!$C$13)^((C149-$A$5)/30),2)))</x:f>
        <x:v>48.26</x:v>
      </x:c>
      <x:c r="T149" s="131" t="n">
        <x:f>IF(A149="","",0)</x:f>
        <x:v>0</x:v>
      </x:c>
      <x:c r="U149" s="131" t="n">
        <x:f>IF(A149="","",0)</x:f>
        <x:v>0</x:v>
      </x:c>
      <x:c r="V149" s="131" t="n">
        <x:f>IF(A149="","",IF(N149="Paga",0,IF(O149&gt;0,R149,S149)))</x:f>
        <x:v>48.26</x:v>
      </x:c>
      <x:c r="W149" s="131" t="n">
        <x:f>IF(A149="","",ROUND(MAX(D149-F149,0),2))</x:f>
        <x:v>4650.02</x:v>
      </x:c>
      <x:c r="X149" s="131" t="n">
        <x:f>IF(A149="","",ROUND(SUM($G149:$G$407),2))</x:f>
        <x:v>5378.96</x:v>
      </x:c>
      <x:c r="Y149" s="131" t="n">
        <x:f>IF(A149="","",ROUND(MAX(X149-D149,0),2))</x:f>
        <x:v>668.38</x:v>
      </x:c>
      <x:c r="Z149" s="131" t="n">
        <x:f>IF(A149="","",ROUND(SUM($V149:$V$407),2))</x:f>
        <x:v>2927.58</x:v>
      </x:c>
      <x:c r="AA149" s="131" t="n">
        <x:f>IF(A149="","",ROUND(SUM($K149:$K$407)-Z149,2))</x:f>
        <x:v>28800.7</x:v>
      </x:c>
      <x:c r="AB149" s="77"/>
      <x:c r="AC149" s="36" t="str">
        <x:f>IF(A149="","",IF(O149&gt;0,"Vencido: saldo da fatura + mora",IF(O149&lt;=0,"Vincendo: VP da parcela financeira; comissão/proteção futuras isentas","")))</x:f>
        <x:v>Vincendo: VP da parcela financeira; comissão/proteção futuras isentas</x:v>
      </x:c>
    </x:row>
    <x:row r="150">
      <x:c r="A150" s="129" t="n">
        <x:f>IF(ROW()-7&lt;=Contrato!$C$16,ROW()-7,"")</x:f>
        <x:v>143</x:v>
      </x:c>
      <x:c r="B150" s="129" t="n">
        <x:f>IF(A150="","",Contrato!$C$16)</x:f>
        <x:v>209</x:v>
      </x:c>
      <x:c r="C150" s="130" t="n">
        <x:f>IF(A150="","",IF(AB150&lt;&gt;"",AB150,IF(Contrato!$C$14="Mensal",EDATE(Contrato!$C$13,A150-1),Contrato!$C$13+(A150-1)*IF(Contrato!$C$14="Quinzenal",14,IF(Contrato!$C$14="Semanal",7,1)))))</x:f>
        <x:v>47263</x:v>
      </x:c>
      <x:c r="D150" s="131" t="n">
        <x:f>IF(A150="","",W149)</x:f>
        <x:v>4650.02</x:v>
      </x:c>
      <x:c r="E150" s="131" t="n">
        <x:f>IF(A150="","",ROUND(D150*Simulador!$I$18,2))</x:f>
        <x:v>18.33</x:v>
      </x:c>
      <x:c r="F150" s="131" t="n">
        <x:f>IF(A150="","",ROUND(MIN(D150,MAX(G150-E150,0)),2))</x:f>
        <x:v>60.79</x:v>
      </x:c>
      <x:c r="G150" s="131" t="n">
        <x:f>IF(A150="","",IF(A150&lt;Contrato!$C$16,Contrato!$C$27,Contrato!$C$28))</x:f>
        <x:v>79.12</x:v>
      </x:c>
      <x:c r="H150" s="131" t="n">
        <x:f>IF(A150="","",Contrato!$C$29)</x:f>
        <x:v>199.99</x:v>
      </x:c>
      <x:c r="I150" s="131" t="n">
        <x:f>IF(A150="","",Contrato!$C$30)</x:f>
        <x:v>187.5</x:v>
      </x:c>
      <x:c r="J150" s="131" t="n">
        <x:f>IF(A150="","",Contrato!$C$31)</x:f>
        <x:v>0</x:v>
      </x:c>
      <x:c r="K150" s="131" t="n">
        <x:f>IF(A150="","",ROUND(SUM(G150:J150),2))</x:f>
        <x:v>466.61</x:v>
      </x:c>
      <x:c r="L150" s="80"/>
      <x:c r="M150" s="77"/>
      <x:c r="N150" s="29" t="str">
        <x:f>IF(A150="","",IF(L150&gt;=K150,"Paga",IF(L150&gt;0,"Paga parcialmente",IF(C150&lt;$A$5,"Vencida","Prevista"))))</x:f>
        <x:v>Prevista</x:v>
      </x:c>
      <x:c r="O150" s="29" t="n">
        <x:f>IF(A150="","",$A$5-C150)</x:f>
        <x:v>-1003</x:v>
      </x:c>
      <x:c r="P150" s="131" t="n">
        <x:f>IF(A150="","",IF(AND(O150&gt;0,MAX(K150-L150,0)&gt;0,N150&lt;&gt;"Paga"),ROUND(MAX(K150-L150,0)*'Parâmetros'!$B$34,2),0))</x:f>
        <x:v>0</x:v>
      </x:c>
      <x:c r="Q150" s="131" t="n">
        <x:f>IF(A150="","",IF(AND(O150&gt;0,MAX(K150-L150,0)&gt;0,N150&lt;&gt;"Paga"),ROUND(MAX(K150-L150,0)*'Parâmetros'!$B$35*(O150/'Parâmetros'!$B$33),2),0))</x:f>
        <x:v>0</x:v>
      </x:c>
      <x:c r="R150" s="131" t="n">
        <x:f>IF(A150="","",IF(O150&gt;0,ROUND(MAX(K150-L150,0)+P150+Q150,2),0))</x:f>
        <x:v>0</x:v>
      </x:c>
      <x:c r="S150" s="131" t="n">
        <x:f>IF(A150="","",IF(OR(N150="Paga",O150&gt;0),0,ROUND(IF(K150=0,0,G150*MAX(K150-L150,0)/K150)/(1+'Parâmetros'!$C$13)^((C150-$A$5)/30),2)))</x:f>
        <x:v>48.1</x:v>
      </x:c>
      <x:c r="T150" s="131" t="n">
        <x:f>IF(A150="","",0)</x:f>
        <x:v>0</x:v>
      </x:c>
      <x:c r="U150" s="131" t="n">
        <x:f>IF(A150="","",0)</x:f>
        <x:v>0</x:v>
      </x:c>
      <x:c r="V150" s="131" t="n">
        <x:f>IF(A150="","",IF(N150="Paga",0,IF(O150&gt;0,R150,S150)))</x:f>
        <x:v>48.1</x:v>
      </x:c>
      <x:c r="W150" s="131" t="n">
        <x:f>IF(A150="","",ROUND(MAX(D150-F150,0),2))</x:f>
        <x:v>4589.23</x:v>
      </x:c>
      <x:c r="X150" s="131" t="n">
        <x:f>IF(A150="","",ROUND(SUM($G150:$G$407),2))</x:f>
        <x:v>5299.84</x:v>
      </x:c>
      <x:c r="Y150" s="131" t="n">
        <x:f>IF(A150="","",ROUND(MAX(X150-D150,0),2))</x:f>
        <x:v>649.82</x:v>
      </x:c>
      <x:c r="Z150" s="131" t="n">
        <x:f>IF(A150="","",ROUND(SUM($V150:$V$407),2))</x:f>
        <x:v>2879.32</x:v>
      </x:c>
      <x:c r="AA150" s="131" t="n">
        <x:f>IF(A150="","",ROUND(SUM($K150:$K$407)-Z150,2))</x:f>
        <x:v>28382.35</x:v>
      </x:c>
      <x:c r="AB150" s="77"/>
      <x:c r="AC150" s="36" t="str">
        <x:f>IF(A150="","",IF(O150&gt;0,"Vencido: saldo da fatura + mora",IF(O150&lt;=0,"Vincendo: VP da parcela financeira; comissão/proteção futuras isentas","")))</x:f>
        <x:v>Vincendo: VP da parcela financeira; comissão/proteção futuras isentas</x:v>
      </x:c>
    </x:row>
    <x:row r="151">
      <x:c r="A151" s="129" t="n">
        <x:f>IF(ROW()-7&lt;=Contrato!$C$16,ROW()-7,"")</x:f>
        <x:v>144</x:v>
      </x:c>
      <x:c r="B151" s="129" t="n">
        <x:f>IF(A151="","",Contrato!$C$16)</x:f>
        <x:v>209</x:v>
      </x:c>
      <x:c r="C151" s="130" t="n">
        <x:f>IF(A151="","",IF(AB151&lt;&gt;"",AB151,IF(Contrato!$C$14="Mensal",EDATE(Contrato!$C$13,A151-1),Contrato!$C$13+(A151-1)*IF(Contrato!$C$14="Quinzenal",14,IF(Contrato!$C$14="Semanal",7,1)))))</x:f>
        <x:v>47270</x:v>
      </x:c>
      <x:c r="D151" s="131" t="n">
        <x:f>IF(A151="","",W150)</x:f>
        <x:v>4589.23</x:v>
      </x:c>
      <x:c r="E151" s="131" t="n">
        <x:f>IF(A151="","",ROUND(D151*Simulador!$I$18,2))</x:f>
        <x:v>18.09</x:v>
      </x:c>
      <x:c r="F151" s="131" t="n">
        <x:f>IF(A151="","",ROUND(MIN(D151,MAX(G151-E151,0)),2))</x:f>
        <x:v>61.03</x:v>
      </x:c>
      <x:c r="G151" s="131" t="n">
        <x:f>IF(A151="","",IF(A151&lt;Contrato!$C$16,Contrato!$C$27,Contrato!$C$28))</x:f>
        <x:v>79.12</x:v>
      </x:c>
      <x:c r="H151" s="131" t="n">
        <x:f>IF(A151="","",Contrato!$C$29)</x:f>
        <x:v>199.99</x:v>
      </x:c>
      <x:c r="I151" s="131" t="n">
        <x:f>IF(A151="","",Contrato!$C$30)</x:f>
        <x:v>187.5</x:v>
      </x:c>
      <x:c r="J151" s="131" t="n">
        <x:f>IF(A151="","",Contrato!$C$31)</x:f>
        <x:v>0</x:v>
      </x:c>
      <x:c r="K151" s="131" t="n">
        <x:f>IF(A151="","",ROUND(SUM(G151:J151),2))</x:f>
        <x:v>466.61</x:v>
      </x:c>
      <x:c r="L151" s="80"/>
      <x:c r="M151" s="77"/>
      <x:c r="N151" s="29" t="str">
        <x:f>IF(A151="","",IF(L151&gt;=K151,"Paga",IF(L151&gt;0,"Paga parcialmente",IF(C151&lt;$A$5,"Vencida","Prevista"))))</x:f>
        <x:v>Prevista</x:v>
      </x:c>
      <x:c r="O151" s="29" t="n">
        <x:f>IF(A151="","",$A$5-C151)</x:f>
        <x:v>-1010</x:v>
      </x:c>
      <x:c r="P151" s="131" t="n">
        <x:f>IF(A151="","",IF(AND(O151&gt;0,MAX(K151-L151,0)&gt;0,N151&lt;&gt;"Paga"),ROUND(MAX(K151-L151,0)*'Parâmetros'!$B$34,2),0))</x:f>
        <x:v>0</x:v>
      </x:c>
      <x:c r="Q151" s="131" t="n">
        <x:f>IF(A151="","",IF(AND(O151&gt;0,MAX(K151-L151,0)&gt;0,N151&lt;&gt;"Paga"),ROUND(MAX(K151-L151,0)*'Parâmetros'!$B$35*(O151/'Parâmetros'!$B$33),2),0))</x:f>
        <x:v>0</x:v>
      </x:c>
      <x:c r="R151" s="131" t="n">
        <x:f>IF(A151="","",IF(O151&gt;0,ROUND(MAX(K151-L151,0)+P151+Q151,2),0))</x:f>
        <x:v>0</x:v>
      </x:c>
      <x:c r="S151" s="131" t="n">
        <x:f>IF(A151="","",IF(OR(N151="Paga",O151&gt;0),0,ROUND(IF(K151=0,0,G151*MAX(K151-L151,0)/K151)/(1+'Parâmetros'!$C$13)^((C151-$A$5)/30),2)))</x:f>
        <x:v>47.93</x:v>
      </x:c>
      <x:c r="T151" s="131" t="n">
        <x:f>IF(A151="","",0)</x:f>
        <x:v>0</x:v>
      </x:c>
      <x:c r="U151" s="131" t="n">
        <x:f>IF(A151="","",0)</x:f>
        <x:v>0</x:v>
      </x:c>
      <x:c r="V151" s="131" t="n">
        <x:f>IF(A151="","",IF(N151="Paga",0,IF(O151&gt;0,R151,S151)))</x:f>
        <x:v>47.93</x:v>
      </x:c>
      <x:c r="W151" s="131" t="n">
        <x:f>IF(A151="","",ROUND(MAX(D151-F151,0),2))</x:f>
        <x:v>4528.2</x:v>
      </x:c>
      <x:c r="X151" s="131" t="n">
        <x:f>IF(A151="","",ROUND(SUM($G151:$G$407),2))</x:f>
        <x:v>5220.72</x:v>
      </x:c>
      <x:c r="Y151" s="131" t="n">
        <x:f>IF(A151="","",ROUND(MAX(X151-D151,0),2))</x:f>
        <x:v>631.49</x:v>
      </x:c>
      <x:c r="Z151" s="131" t="n">
        <x:f>IF(A151="","",ROUND(SUM($V151:$V$407),2))</x:f>
        <x:v>2831.22</x:v>
      </x:c>
      <x:c r="AA151" s="131" t="n">
        <x:f>IF(A151="","",ROUND(SUM($K151:$K$407)-Z151,2))</x:f>
        <x:v>27963.84</x:v>
      </x:c>
      <x:c r="AB151" s="77"/>
      <x:c r="AC151" s="36" t="str">
        <x:f>IF(A151="","",IF(O151&gt;0,"Vencido: saldo da fatura + mora",IF(O151&lt;=0,"Vincendo: VP da parcela financeira; comissão/proteção futuras isentas","")))</x:f>
        <x:v>Vincendo: VP da parcela financeira; comissão/proteção futuras isentas</x:v>
      </x:c>
    </x:row>
    <x:row r="152">
      <x:c r="A152" s="129" t="n">
        <x:f>IF(ROW()-7&lt;=Contrato!$C$16,ROW()-7,"")</x:f>
        <x:v>145</x:v>
      </x:c>
      <x:c r="B152" s="129" t="n">
        <x:f>IF(A152="","",Contrato!$C$16)</x:f>
        <x:v>209</x:v>
      </x:c>
      <x:c r="C152" s="130" t="n">
        <x:f>IF(A152="","",IF(AB152&lt;&gt;"",AB152,IF(Contrato!$C$14="Mensal",EDATE(Contrato!$C$13,A152-1),Contrato!$C$13+(A152-1)*IF(Contrato!$C$14="Quinzenal",14,IF(Contrato!$C$14="Semanal",7,1)))))</x:f>
        <x:v>47277</x:v>
      </x:c>
      <x:c r="D152" s="131" t="n">
        <x:f>IF(A152="","",W151)</x:f>
        <x:v>4528.2</x:v>
      </x:c>
      <x:c r="E152" s="131" t="n">
        <x:f>IF(A152="","",ROUND(D152*Simulador!$I$18,2))</x:f>
        <x:v>17.85</x:v>
      </x:c>
      <x:c r="F152" s="131" t="n">
        <x:f>IF(A152="","",ROUND(MIN(D152,MAX(G152-E152,0)),2))</x:f>
        <x:v>61.27</x:v>
      </x:c>
      <x:c r="G152" s="131" t="n">
        <x:f>IF(A152="","",IF(A152&lt;Contrato!$C$16,Contrato!$C$27,Contrato!$C$28))</x:f>
        <x:v>79.12</x:v>
      </x:c>
      <x:c r="H152" s="131" t="n">
        <x:f>IF(A152="","",Contrato!$C$29)</x:f>
        <x:v>199.99</x:v>
      </x:c>
      <x:c r="I152" s="131" t="n">
        <x:f>IF(A152="","",Contrato!$C$30)</x:f>
        <x:v>187.5</x:v>
      </x:c>
      <x:c r="J152" s="131" t="n">
        <x:f>IF(A152="","",Contrato!$C$31)</x:f>
        <x:v>0</x:v>
      </x:c>
      <x:c r="K152" s="131" t="n">
        <x:f>IF(A152="","",ROUND(SUM(G152:J152),2))</x:f>
        <x:v>466.61</x:v>
      </x:c>
      <x:c r="L152" s="80"/>
      <x:c r="M152" s="77"/>
      <x:c r="N152" s="29" t="str">
        <x:f>IF(A152="","",IF(L152&gt;=K152,"Paga",IF(L152&gt;0,"Paga parcialmente",IF(C152&lt;$A$5,"Vencida","Prevista"))))</x:f>
        <x:v>Prevista</x:v>
      </x:c>
      <x:c r="O152" s="29" t="n">
        <x:f>IF(A152="","",$A$5-C152)</x:f>
        <x:v>-1017</x:v>
      </x:c>
      <x:c r="P152" s="131" t="n">
        <x:f>IF(A152="","",IF(AND(O152&gt;0,MAX(K152-L152,0)&gt;0,N152&lt;&gt;"Paga"),ROUND(MAX(K152-L152,0)*'Parâmetros'!$B$34,2),0))</x:f>
        <x:v>0</x:v>
      </x:c>
      <x:c r="Q152" s="131" t="n">
        <x:f>IF(A152="","",IF(AND(O152&gt;0,MAX(K152-L152,0)&gt;0,N152&lt;&gt;"Paga"),ROUND(MAX(K152-L152,0)*'Parâmetros'!$B$35*(O152/'Parâmetros'!$B$33),2),0))</x:f>
        <x:v>0</x:v>
      </x:c>
      <x:c r="R152" s="131" t="n">
        <x:f>IF(A152="","",IF(O152&gt;0,ROUND(MAX(K152-L152,0)+P152+Q152,2),0))</x:f>
        <x:v>0</x:v>
      </x:c>
      <x:c r="S152" s="131" t="n">
        <x:f>IF(A152="","",IF(OR(N152="Paga",O152&gt;0),0,ROUND(IF(K152=0,0,G152*MAX(K152-L152,0)/K152)/(1+'Parâmetros'!$C$13)^((C152-$A$5)/30),2)))</x:f>
        <x:v>47.76</x:v>
      </x:c>
      <x:c r="T152" s="131" t="n">
        <x:f>IF(A152="","",0)</x:f>
        <x:v>0</x:v>
      </x:c>
      <x:c r="U152" s="131" t="n">
        <x:f>IF(A152="","",0)</x:f>
        <x:v>0</x:v>
      </x:c>
      <x:c r="V152" s="131" t="n">
        <x:f>IF(A152="","",IF(N152="Paga",0,IF(O152&gt;0,R152,S152)))</x:f>
        <x:v>47.76</x:v>
      </x:c>
      <x:c r="W152" s="131" t="n">
        <x:f>IF(A152="","",ROUND(MAX(D152-F152,0),2))</x:f>
        <x:v>4466.93</x:v>
      </x:c>
      <x:c r="X152" s="131" t="n">
        <x:f>IF(A152="","",ROUND(SUM($G152:$G$407),2))</x:f>
        <x:v>5141.6</x:v>
      </x:c>
      <x:c r="Y152" s="131" t="n">
        <x:f>IF(A152="","",ROUND(MAX(X152-D152,0),2))</x:f>
        <x:v>613.4</x:v>
      </x:c>
      <x:c r="Z152" s="131" t="n">
        <x:f>IF(A152="","",ROUND(SUM($V152:$V$407),2))</x:f>
        <x:v>2783.29</x:v>
      </x:c>
      <x:c r="AA152" s="131" t="n">
        <x:f>IF(A152="","",ROUND(SUM($K152:$K$407)-Z152,2))</x:f>
        <x:v>27545.16</x:v>
      </x:c>
      <x:c r="AB152" s="77"/>
      <x:c r="AC152" s="36" t="str">
        <x:f>IF(A152="","",IF(O152&gt;0,"Vencido: saldo da fatura + mora",IF(O152&lt;=0,"Vincendo: VP da parcela financeira; comissão/proteção futuras isentas","")))</x:f>
        <x:v>Vincendo: VP da parcela financeira; comissão/proteção futuras isentas</x:v>
      </x:c>
    </x:row>
    <x:row r="153">
      <x:c r="A153" s="129" t="n">
        <x:f>IF(ROW()-7&lt;=Contrato!$C$16,ROW()-7,"")</x:f>
        <x:v>146</x:v>
      </x:c>
      <x:c r="B153" s="129" t="n">
        <x:f>IF(A153="","",Contrato!$C$16)</x:f>
        <x:v>209</x:v>
      </x:c>
      <x:c r="C153" s="130" t="n">
        <x:f>IF(A153="","",IF(AB153&lt;&gt;"",AB153,IF(Contrato!$C$14="Mensal",EDATE(Contrato!$C$13,A153-1),Contrato!$C$13+(A153-1)*IF(Contrato!$C$14="Quinzenal",14,IF(Contrato!$C$14="Semanal",7,1)))))</x:f>
        <x:v>47284</x:v>
      </x:c>
      <x:c r="D153" s="131" t="n">
        <x:f>IF(A153="","",W152)</x:f>
        <x:v>4466.93</x:v>
      </x:c>
      <x:c r="E153" s="131" t="n">
        <x:f>IF(A153="","",ROUND(D153*Simulador!$I$18,2))</x:f>
        <x:v>17.6</x:v>
      </x:c>
      <x:c r="F153" s="131" t="n">
        <x:f>IF(A153="","",ROUND(MIN(D153,MAX(G153-E153,0)),2))</x:f>
        <x:v>61.52</x:v>
      </x:c>
      <x:c r="G153" s="131" t="n">
        <x:f>IF(A153="","",IF(A153&lt;Contrato!$C$16,Contrato!$C$27,Contrato!$C$28))</x:f>
        <x:v>79.12</x:v>
      </x:c>
      <x:c r="H153" s="131" t="n">
        <x:f>IF(A153="","",Contrato!$C$29)</x:f>
        <x:v>199.99</x:v>
      </x:c>
      <x:c r="I153" s="131" t="n">
        <x:f>IF(A153="","",Contrato!$C$30)</x:f>
        <x:v>187.5</x:v>
      </x:c>
      <x:c r="J153" s="131" t="n">
        <x:f>IF(A153="","",Contrato!$C$31)</x:f>
        <x:v>0</x:v>
      </x:c>
      <x:c r="K153" s="131" t="n">
        <x:f>IF(A153="","",ROUND(SUM(G153:J153),2))</x:f>
        <x:v>466.61</x:v>
      </x:c>
      <x:c r="L153" s="80"/>
      <x:c r="M153" s="77"/>
      <x:c r="N153" s="29" t="str">
        <x:f>IF(A153="","",IF(L153&gt;=K153,"Paga",IF(L153&gt;0,"Paga parcialmente",IF(C153&lt;$A$5,"Vencida","Prevista"))))</x:f>
        <x:v>Prevista</x:v>
      </x:c>
      <x:c r="O153" s="29" t="n">
        <x:f>IF(A153="","",$A$5-C153)</x:f>
        <x:v>-1024</x:v>
      </x:c>
      <x:c r="P153" s="131" t="n">
        <x:f>IF(A153="","",IF(AND(O153&gt;0,MAX(K153-L153,0)&gt;0,N153&lt;&gt;"Paga"),ROUND(MAX(K153-L153,0)*'Parâmetros'!$B$34,2),0))</x:f>
        <x:v>0</x:v>
      </x:c>
      <x:c r="Q153" s="131" t="n">
        <x:f>IF(A153="","",IF(AND(O153&gt;0,MAX(K153-L153,0)&gt;0,N153&lt;&gt;"Paga"),ROUND(MAX(K153-L153,0)*'Parâmetros'!$B$35*(O153/'Parâmetros'!$B$33),2),0))</x:f>
        <x:v>0</x:v>
      </x:c>
      <x:c r="R153" s="131" t="n">
        <x:f>IF(A153="","",IF(O153&gt;0,ROUND(MAX(K153-L153,0)+P153+Q153,2),0))</x:f>
        <x:v>0</x:v>
      </x:c>
      <x:c r="S153" s="131" t="n">
        <x:f>IF(A153="","",IF(OR(N153="Paga",O153&gt;0),0,ROUND(IF(K153=0,0,G153*MAX(K153-L153,0)/K153)/(1+'Parâmetros'!$C$13)^((C153-$A$5)/30),2)))</x:f>
        <x:v>47.6</x:v>
      </x:c>
      <x:c r="T153" s="131" t="n">
        <x:f>IF(A153="","",0)</x:f>
        <x:v>0</x:v>
      </x:c>
      <x:c r="U153" s="131" t="n">
        <x:f>IF(A153="","",0)</x:f>
        <x:v>0</x:v>
      </x:c>
      <x:c r="V153" s="131" t="n">
        <x:f>IF(A153="","",IF(N153="Paga",0,IF(O153&gt;0,R153,S153)))</x:f>
        <x:v>47.6</x:v>
      </x:c>
      <x:c r="W153" s="131" t="n">
        <x:f>IF(A153="","",ROUND(MAX(D153-F153,0),2))</x:f>
        <x:v>4405.41</x:v>
      </x:c>
      <x:c r="X153" s="131" t="n">
        <x:f>IF(A153="","",ROUND(SUM($G153:$G$407),2))</x:f>
        <x:v>5062.48</x:v>
      </x:c>
      <x:c r="Y153" s="131" t="n">
        <x:f>IF(A153="","",ROUND(MAX(X153-D153,0),2))</x:f>
        <x:v>595.55</x:v>
      </x:c>
      <x:c r="Z153" s="131" t="n">
        <x:f>IF(A153="","",ROUND(SUM($V153:$V$407),2))</x:f>
        <x:v>2735.53</x:v>
      </x:c>
      <x:c r="AA153" s="131" t="n">
        <x:f>IF(A153="","",ROUND(SUM($K153:$K$407)-Z153,2))</x:f>
        <x:v>27126.31</x:v>
      </x:c>
      <x:c r="AB153" s="77"/>
      <x:c r="AC153" s="36" t="str">
        <x:f>IF(A153="","",IF(O153&gt;0,"Vencido: saldo da fatura + mora",IF(O153&lt;=0,"Vincendo: VP da parcela financeira; comissão/proteção futuras isentas","")))</x:f>
        <x:v>Vincendo: VP da parcela financeira; comissão/proteção futuras isentas</x:v>
      </x:c>
    </x:row>
    <x:row r="154">
      <x:c r="A154" s="129" t="n">
        <x:f>IF(ROW()-7&lt;=Contrato!$C$16,ROW()-7,"")</x:f>
        <x:v>147</x:v>
      </x:c>
      <x:c r="B154" s="129" t="n">
        <x:f>IF(A154="","",Contrato!$C$16)</x:f>
        <x:v>209</x:v>
      </x:c>
      <x:c r="C154" s="130" t="n">
        <x:f>IF(A154="","",IF(AB154&lt;&gt;"",AB154,IF(Contrato!$C$14="Mensal",EDATE(Contrato!$C$13,A154-1),Contrato!$C$13+(A154-1)*IF(Contrato!$C$14="Quinzenal",14,IF(Contrato!$C$14="Semanal",7,1)))))</x:f>
        <x:v>47291</x:v>
      </x:c>
      <x:c r="D154" s="131" t="n">
        <x:f>IF(A154="","",W153)</x:f>
        <x:v>4405.41</x:v>
      </x:c>
      <x:c r="E154" s="131" t="n">
        <x:f>IF(A154="","",ROUND(D154*Simulador!$I$18,2))</x:f>
        <x:v>17.36</x:v>
      </x:c>
      <x:c r="F154" s="131" t="n">
        <x:f>IF(A154="","",ROUND(MIN(D154,MAX(G154-E154,0)),2))</x:f>
        <x:v>61.76</x:v>
      </x:c>
      <x:c r="G154" s="131" t="n">
        <x:f>IF(A154="","",IF(A154&lt;Contrato!$C$16,Contrato!$C$27,Contrato!$C$28))</x:f>
        <x:v>79.12</x:v>
      </x:c>
      <x:c r="H154" s="131" t="n">
        <x:f>IF(A154="","",Contrato!$C$29)</x:f>
        <x:v>199.99</x:v>
      </x:c>
      <x:c r="I154" s="131" t="n">
        <x:f>IF(A154="","",Contrato!$C$30)</x:f>
        <x:v>187.5</x:v>
      </x:c>
      <x:c r="J154" s="131" t="n">
        <x:f>IF(A154="","",Contrato!$C$31)</x:f>
        <x:v>0</x:v>
      </x:c>
      <x:c r="K154" s="131" t="n">
        <x:f>IF(A154="","",ROUND(SUM(G154:J154),2))</x:f>
        <x:v>466.61</x:v>
      </x:c>
      <x:c r="L154" s="80"/>
      <x:c r="M154" s="77"/>
      <x:c r="N154" s="29" t="str">
        <x:f>IF(A154="","",IF(L154&gt;=K154,"Paga",IF(L154&gt;0,"Paga parcialmente",IF(C154&lt;$A$5,"Vencida","Prevista"))))</x:f>
        <x:v>Prevista</x:v>
      </x:c>
      <x:c r="O154" s="29" t="n">
        <x:f>IF(A154="","",$A$5-C154)</x:f>
        <x:v>-1031</x:v>
      </x:c>
      <x:c r="P154" s="131" t="n">
        <x:f>IF(A154="","",IF(AND(O154&gt;0,MAX(K154-L154,0)&gt;0,N154&lt;&gt;"Paga"),ROUND(MAX(K154-L154,0)*'Parâmetros'!$B$34,2),0))</x:f>
        <x:v>0</x:v>
      </x:c>
      <x:c r="Q154" s="131" t="n">
        <x:f>IF(A154="","",IF(AND(O154&gt;0,MAX(K154-L154,0)&gt;0,N154&lt;&gt;"Paga"),ROUND(MAX(K154-L154,0)*'Parâmetros'!$B$35*(O154/'Parâmetros'!$B$33),2),0))</x:f>
        <x:v>0</x:v>
      </x:c>
      <x:c r="R154" s="131" t="n">
        <x:f>IF(A154="","",IF(O154&gt;0,ROUND(MAX(K154-L154,0)+P154+Q154,2),0))</x:f>
        <x:v>0</x:v>
      </x:c>
      <x:c r="S154" s="131" t="n">
        <x:f>IF(A154="","",IF(OR(N154="Paga",O154&gt;0),0,ROUND(IF(K154=0,0,G154*MAX(K154-L154,0)/K154)/(1+'Parâmetros'!$C$13)^((C154-$A$5)/30),2)))</x:f>
        <x:v>47.43</x:v>
      </x:c>
      <x:c r="T154" s="131" t="n">
        <x:f>IF(A154="","",0)</x:f>
        <x:v>0</x:v>
      </x:c>
      <x:c r="U154" s="131" t="n">
        <x:f>IF(A154="","",0)</x:f>
        <x:v>0</x:v>
      </x:c>
      <x:c r="V154" s="131" t="n">
        <x:f>IF(A154="","",IF(N154="Paga",0,IF(O154&gt;0,R154,S154)))</x:f>
        <x:v>47.43</x:v>
      </x:c>
      <x:c r="W154" s="131" t="n">
        <x:f>IF(A154="","",ROUND(MAX(D154-F154,0),2))</x:f>
        <x:v>4343.65</x:v>
      </x:c>
      <x:c r="X154" s="131" t="n">
        <x:f>IF(A154="","",ROUND(SUM($G154:$G$407),2))</x:f>
        <x:v>4983.36</x:v>
      </x:c>
      <x:c r="Y154" s="131" t="n">
        <x:f>IF(A154="","",ROUND(MAX(X154-D154,0),2))</x:f>
        <x:v>577.95</x:v>
      </x:c>
      <x:c r="Z154" s="131" t="n">
        <x:f>IF(A154="","",ROUND(SUM($V154:$V$407),2))</x:f>
        <x:v>2687.93</x:v>
      </x:c>
      <x:c r="AA154" s="131" t="n">
        <x:f>IF(A154="","",ROUND(SUM($K154:$K$407)-Z154,2))</x:f>
        <x:v>26707.3</x:v>
      </x:c>
      <x:c r="AB154" s="77"/>
      <x:c r="AC154" s="36" t="str">
        <x:f>IF(A154="","",IF(O154&gt;0,"Vencido: saldo da fatura + mora",IF(O154&lt;=0,"Vincendo: VP da parcela financeira; comissão/proteção futuras isentas","")))</x:f>
        <x:v>Vincendo: VP da parcela financeira; comissão/proteção futuras isentas</x:v>
      </x:c>
    </x:row>
    <x:row r="155">
      <x:c r="A155" s="129" t="n">
        <x:f>IF(ROW()-7&lt;=Contrato!$C$16,ROW()-7,"")</x:f>
        <x:v>148</x:v>
      </x:c>
      <x:c r="B155" s="129" t="n">
        <x:f>IF(A155="","",Contrato!$C$16)</x:f>
        <x:v>209</x:v>
      </x:c>
      <x:c r="C155" s="130" t="n">
        <x:f>IF(A155="","",IF(AB155&lt;&gt;"",AB155,IF(Contrato!$C$14="Mensal",EDATE(Contrato!$C$13,A155-1),Contrato!$C$13+(A155-1)*IF(Contrato!$C$14="Quinzenal",14,IF(Contrato!$C$14="Semanal",7,1)))))</x:f>
        <x:v>47298</x:v>
      </x:c>
      <x:c r="D155" s="131" t="n">
        <x:f>IF(A155="","",W154)</x:f>
        <x:v>4343.65</x:v>
      </x:c>
      <x:c r="E155" s="131" t="n">
        <x:f>IF(A155="","",ROUND(D155*Simulador!$I$18,2))</x:f>
        <x:v>17.12</x:v>
      </x:c>
      <x:c r="F155" s="131" t="n">
        <x:f>IF(A155="","",ROUND(MIN(D155,MAX(G155-E155,0)),2))</x:f>
        <x:v>62</x:v>
      </x:c>
      <x:c r="G155" s="131" t="n">
        <x:f>IF(A155="","",IF(A155&lt;Contrato!$C$16,Contrato!$C$27,Contrato!$C$28))</x:f>
        <x:v>79.12</x:v>
      </x:c>
      <x:c r="H155" s="131" t="n">
        <x:f>IF(A155="","",Contrato!$C$29)</x:f>
        <x:v>199.99</x:v>
      </x:c>
      <x:c r="I155" s="131" t="n">
        <x:f>IF(A155="","",Contrato!$C$30)</x:f>
        <x:v>187.5</x:v>
      </x:c>
      <x:c r="J155" s="131" t="n">
        <x:f>IF(A155="","",Contrato!$C$31)</x:f>
        <x:v>0</x:v>
      </x:c>
      <x:c r="K155" s="131" t="n">
        <x:f>IF(A155="","",ROUND(SUM(G155:J155),2))</x:f>
        <x:v>466.61</x:v>
      </x:c>
      <x:c r="L155" s="80"/>
      <x:c r="M155" s="77"/>
      <x:c r="N155" s="29" t="str">
        <x:f>IF(A155="","",IF(L155&gt;=K155,"Paga",IF(L155&gt;0,"Paga parcialmente",IF(C155&lt;$A$5,"Vencida","Prevista"))))</x:f>
        <x:v>Prevista</x:v>
      </x:c>
      <x:c r="O155" s="29" t="n">
        <x:f>IF(A155="","",$A$5-C155)</x:f>
        <x:v>-1038</x:v>
      </x:c>
      <x:c r="P155" s="131" t="n">
        <x:f>IF(A155="","",IF(AND(O155&gt;0,MAX(K155-L155,0)&gt;0,N155&lt;&gt;"Paga"),ROUND(MAX(K155-L155,0)*'Parâmetros'!$B$34,2),0))</x:f>
        <x:v>0</x:v>
      </x:c>
      <x:c r="Q155" s="131" t="n">
        <x:f>IF(A155="","",IF(AND(O155&gt;0,MAX(K155-L155,0)&gt;0,N155&lt;&gt;"Paga"),ROUND(MAX(K155-L155,0)*'Parâmetros'!$B$35*(O155/'Parâmetros'!$B$33),2),0))</x:f>
        <x:v>0</x:v>
      </x:c>
      <x:c r="R155" s="131" t="n">
        <x:f>IF(A155="","",IF(O155&gt;0,ROUND(MAX(K155-L155,0)+P155+Q155,2),0))</x:f>
        <x:v>0</x:v>
      </x:c>
      <x:c r="S155" s="131" t="n">
        <x:f>IF(A155="","",IF(OR(N155="Paga",O155&gt;0),0,ROUND(IF(K155=0,0,G155*MAX(K155-L155,0)/K155)/(1+'Parâmetros'!$C$13)^((C155-$A$5)/30),2)))</x:f>
        <x:v>47.27</x:v>
      </x:c>
      <x:c r="T155" s="131" t="n">
        <x:f>IF(A155="","",0)</x:f>
        <x:v>0</x:v>
      </x:c>
      <x:c r="U155" s="131" t="n">
        <x:f>IF(A155="","",0)</x:f>
        <x:v>0</x:v>
      </x:c>
      <x:c r="V155" s="131" t="n">
        <x:f>IF(A155="","",IF(N155="Paga",0,IF(O155&gt;0,R155,S155)))</x:f>
        <x:v>47.27</x:v>
      </x:c>
      <x:c r="W155" s="131" t="n">
        <x:f>IF(A155="","",ROUND(MAX(D155-F155,0),2))</x:f>
        <x:v>4281.65</x:v>
      </x:c>
      <x:c r="X155" s="131" t="n">
        <x:f>IF(A155="","",ROUND(SUM($G155:$G$407),2))</x:f>
        <x:v>4904.24</x:v>
      </x:c>
      <x:c r="Y155" s="131" t="n">
        <x:f>IF(A155="","",ROUND(MAX(X155-D155,0),2))</x:f>
        <x:v>560.59</x:v>
      </x:c>
      <x:c r="Z155" s="131" t="n">
        <x:f>IF(A155="","",ROUND(SUM($V155:$V$407),2))</x:f>
        <x:v>2640.5</x:v>
      </x:c>
      <x:c r="AA155" s="131" t="n">
        <x:f>IF(A155="","",ROUND(SUM($K155:$K$407)-Z155,2))</x:f>
        <x:v>26288.12</x:v>
      </x:c>
      <x:c r="AB155" s="77"/>
      <x:c r="AC155" s="36" t="str">
        <x:f>IF(A155="","",IF(O155&gt;0,"Vencido: saldo da fatura + mora",IF(O155&lt;=0,"Vincendo: VP da parcela financeira; comissão/proteção futuras isentas","")))</x:f>
        <x:v>Vincendo: VP da parcela financeira; comissão/proteção futuras isentas</x:v>
      </x:c>
    </x:row>
    <x:row r="156">
      <x:c r="A156" s="129" t="n">
        <x:f>IF(ROW()-7&lt;=Contrato!$C$16,ROW()-7,"")</x:f>
        <x:v>149</x:v>
      </x:c>
      <x:c r="B156" s="129" t="n">
        <x:f>IF(A156="","",Contrato!$C$16)</x:f>
        <x:v>209</x:v>
      </x:c>
      <x:c r="C156" s="130" t="n">
        <x:f>IF(A156="","",IF(AB156&lt;&gt;"",AB156,IF(Contrato!$C$14="Mensal",EDATE(Contrato!$C$13,A156-1),Contrato!$C$13+(A156-1)*IF(Contrato!$C$14="Quinzenal",14,IF(Contrato!$C$14="Semanal",7,1)))))</x:f>
        <x:v>47305</x:v>
      </x:c>
      <x:c r="D156" s="131" t="n">
        <x:f>IF(A156="","",W155)</x:f>
        <x:v>4281.65</x:v>
      </x:c>
      <x:c r="E156" s="131" t="n">
        <x:f>IF(A156="","",ROUND(D156*Simulador!$I$18,2))</x:f>
        <x:v>16.87</x:v>
      </x:c>
      <x:c r="F156" s="131" t="n">
        <x:f>IF(A156="","",ROUND(MIN(D156,MAX(G156-E156,0)),2))</x:f>
        <x:v>62.25</x:v>
      </x:c>
      <x:c r="G156" s="131" t="n">
        <x:f>IF(A156="","",IF(A156&lt;Contrato!$C$16,Contrato!$C$27,Contrato!$C$28))</x:f>
        <x:v>79.12</x:v>
      </x:c>
      <x:c r="H156" s="131" t="n">
        <x:f>IF(A156="","",Contrato!$C$29)</x:f>
        <x:v>199.99</x:v>
      </x:c>
      <x:c r="I156" s="131" t="n">
        <x:f>IF(A156="","",Contrato!$C$30)</x:f>
        <x:v>187.5</x:v>
      </x:c>
      <x:c r="J156" s="131" t="n">
        <x:f>IF(A156="","",Contrato!$C$31)</x:f>
        <x:v>0</x:v>
      </x:c>
      <x:c r="K156" s="131" t="n">
        <x:f>IF(A156="","",ROUND(SUM(G156:J156),2))</x:f>
        <x:v>466.61</x:v>
      </x:c>
      <x:c r="L156" s="80"/>
      <x:c r="M156" s="77"/>
      <x:c r="N156" s="29" t="str">
        <x:f>IF(A156="","",IF(L156&gt;=K156,"Paga",IF(L156&gt;0,"Paga parcialmente",IF(C156&lt;$A$5,"Vencida","Prevista"))))</x:f>
        <x:v>Prevista</x:v>
      </x:c>
      <x:c r="O156" s="29" t="n">
        <x:f>IF(A156="","",$A$5-C156)</x:f>
        <x:v>-1045</x:v>
      </x:c>
      <x:c r="P156" s="131" t="n">
        <x:f>IF(A156="","",IF(AND(O156&gt;0,MAX(K156-L156,0)&gt;0,N156&lt;&gt;"Paga"),ROUND(MAX(K156-L156,0)*'Parâmetros'!$B$34,2),0))</x:f>
        <x:v>0</x:v>
      </x:c>
      <x:c r="Q156" s="131" t="n">
        <x:f>IF(A156="","",IF(AND(O156&gt;0,MAX(K156-L156,0)&gt;0,N156&lt;&gt;"Paga"),ROUND(MAX(K156-L156,0)*'Parâmetros'!$B$35*(O156/'Parâmetros'!$B$33),2),0))</x:f>
        <x:v>0</x:v>
      </x:c>
      <x:c r="R156" s="131" t="n">
        <x:f>IF(A156="","",IF(O156&gt;0,ROUND(MAX(K156-L156,0)+P156+Q156,2),0))</x:f>
        <x:v>0</x:v>
      </x:c>
      <x:c r="S156" s="131" t="n">
        <x:f>IF(A156="","",IF(OR(N156="Paga",O156&gt;0),0,ROUND(IF(K156=0,0,G156*MAX(K156-L156,0)/K156)/(1+'Parâmetros'!$C$13)^((C156-$A$5)/30),2)))</x:f>
        <x:v>47.1</x:v>
      </x:c>
      <x:c r="T156" s="131" t="n">
        <x:f>IF(A156="","",0)</x:f>
        <x:v>0</x:v>
      </x:c>
      <x:c r="U156" s="131" t="n">
        <x:f>IF(A156="","",0)</x:f>
        <x:v>0</x:v>
      </x:c>
      <x:c r="V156" s="131" t="n">
        <x:f>IF(A156="","",IF(N156="Paga",0,IF(O156&gt;0,R156,S156)))</x:f>
        <x:v>47.1</x:v>
      </x:c>
      <x:c r="W156" s="131" t="n">
        <x:f>IF(A156="","",ROUND(MAX(D156-F156,0),2))</x:f>
        <x:v>4219.4</x:v>
      </x:c>
      <x:c r="X156" s="131" t="n">
        <x:f>IF(A156="","",ROUND(SUM($G156:$G$407),2))</x:f>
        <x:v>4825.12</x:v>
      </x:c>
      <x:c r="Y156" s="131" t="n">
        <x:f>IF(A156="","",ROUND(MAX(X156-D156,0),2))</x:f>
        <x:v>543.47</x:v>
      </x:c>
      <x:c r="Z156" s="131" t="n">
        <x:f>IF(A156="","",ROUND(SUM($V156:$V$407),2))</x:f>
        <x:v>2593.23</x:v>
      </x:c>
      <x:c r="AA156" s="131" t="n">
        <x:f>IF(A156="","",ROUND(SUM($K156:$K$407)-Z156,2))</x:f>
        <x:v>25868.78</x:v>
      </x:c>
      <x:c r="AB156" s="77"/>
      <x:c r="AC156" s="36" t="str">
        <x:f>IF(A156="","",IF(O156&gt;0,"Vencido: saldo da fatura + mora",IF(O156&lt;=0,"Vincendo: VP da parcela financeira; comissão/proteção futuras isentas","")))</x:f>
        <x:v>Vincendo: VP da parcela financeira; comissão/proteção futuras isentas</x:v>
      </x:c>
    </x:row>
    <x:row r="157">
      <x:c r="A157" s="129" t="n">
        <x:f>IF(ROW()-7&lt;=Contrato!$C$16,ROW()-7,"")</x:f>
        <x:v>150</x:v>
      </x:c>
      <x:c r="B157" s="129" t="n">
        <x:f>IF(A157="","",Contrato!$C$16)</x:f>
        <x:v>209</x:v>
      </x:c>
      <x:c r="C157" s="130" t="n">
        <x:f>IF(A157="","",IF(AB157&lt;&gt;"",AB157,IF(Contrato!$C$14="Mensal",EDATE(Contrato!$C$13,A157-1),Contrato!$C$13+(A157-1)*IF(Contrato!$C$14="Quinzenal",14,IF(Contrato!$C$14="Semanal",7,1)))))</x:f>
        <x:v>47312</x:v>
      </x:c>
      <x:c r="D157" s="131" t="n">
        <x:f>IF(A157="","",W156)</x:f>
        <x:v>4219.4</x:v>
      </x:c>
      <x:c r="E157" s="131" t="n">
        <x:f>IF(A157="","",ROUND(D157*Simulador!$I$18,2))</x:f>
        <x:v>16.63</x:v>
      </x:c>
      <x:c r="F157" s="131" t="n">
        <x:f>IF(A157="","",ROUND(MIN(D157,MAX(G157-E157,0)),2))</x:f>
        <x:v>62.49</x:v>
      </x:c>
      <x:c r="G157" s="131" t="n">
        <x:f>IF(A157="","",IF(A157&lt;Contrato!$C$16,Contrato!$C$27,Contrato!$C$28))</x:f>
        <x:v>79.12</x:v>
      </x:c>
      <x:c r="H157" s="131" t="n">
        <x:f>IF(A157="","",Contrato!$C$29)</x:f>
        <x:v>199.99</x:v>
      </x:c>
      <x:c r="I157" s="131" t="n">
        <x:f>IF(A157="","",Contrato!$C$30)</x:f>
        <x:v>187.5</x:v>
      </x:c>
      <x:c r="J157" s="131" t="n">
        <x:f>IF(A157="","",Contrato!$C$31)</x:f>
        <x:v>0</x:v>
      </x:c>
      <x:c r="K157" s="131" t="n">
        <x:f>IF(A157="","",ROUND(SUM(G157:J157),2))</x:f>
        <x:v>466.61</x:v>
      </x:c>
      <x:c r="L157" s="80"/>
      <x:c r="M157" s="77"/>
      <x:c r="N157" s="29" t="str">
        <x:f>IF(A157="","",IF(L157&gt;=K157,"Paga",IF(L157&gt;0,"Paga parcialmente",IF(C157&lt;$A$5,"Vencida","Prevista"))))</x:f>
        <x:v>Prevista</x:v>
      </x:c>
      <x:c r="O157" s="29" t="n">
        <x:f>IF(A157="","",$A$5-C157)</x:f>
        <x:v>-1052</x:v>
      </x:c>
      <x:c r="P157" s="131" t="n">
        <x:f>IF(A157="","",IF(AND(O157&gt;0,MAX(K157-L157,0)&gt;0,N157&lt;&gt;"Paga"),ROUND(MAX(K157-L157,0)*'Parâmetros'!$B$34,2),0))</x:f>
        <x:v>0</x:v>
      </x:c>
      <x:c r="Q157" s="131" t="n">
        <x:f>IF(A157="","",IF(AND(O157&gt;0,MAX(K157-L157,0)&gt;0,N157&lt;&gt;"Paga"),ROUND(MAX(K157-L157,0)*'Parâmetros'!$B$35*(O157/'Parâmetros'!$B$33),2),0))</x:f>
        <x:v>0</x:v>
      </x:c>
      <x:c r="R157" s="131" t="n">
        <x:f>IF(A157="","",IF(O157&gt;0,ROUND(MAX(K157-L157,0)+P157+Q157,2),0))</x:f>
        <x:v>0</x:v>
      </x:c>
      <x:c r="S157" s="131" t="n">
        <x:f>IF(A157="","",IF(OR(N157="Paga",O157&gt;0),0,ROUND(IF(K157=0,0,G157*MAX(K157-L157,0)/K157)/(1+'Parâmetros'!$C$13)^((C157-$A$5)/30),2)))</x:f>
        <x:v>46.94</x:v>
      </x:c>
      <x:c r="T157" s="131" t="n">
        <x:f>IF(A157="","",0)</x:f>
        <x:v>0</x:v>
      </x:c>
      <x:c r="U157" s="131" t="n">
        <x:f>IF(A157="","",0)</x:f>
        <x:v>0</x:v>
      </x:c>
      <x:c r="V157" s="131" t="n">
        <x:f>IF(A157="","",IF(N157="Paga",0,IF(O157&gt;0,R157,S157)))</x:f>
        <x:v>46.94</x:v>
      </x:c>
      <x:c r="W157" s="131" t="n">
        <x:f>IF(A157="","",ROUND(MAX(D157-F157,0),2))</x:f>
        <x:v>4156.91</x:v>
      </x:c>
      <x:c r="X157" s="131" t="n">
        <x:f>IF(A157="","",ROUND(SUM($G157:$G$407),2))</x:f>
        <x:v>4746</x:v>
      </x:c>
      <x:c r="Y157" s="131" t="n">
        <x:f>IF(A157="","",ROUND(MAX(X157-D157,0),2))</x:f>
        <x:v>526.6</x:v>
      </x:c>
      <x:c r="Z157" s="131" t="n">
        <x:f>IF(A157="","",ROUND(SUM($V157:$V$407),2))</x:f>
        <x:v>2546.13</x:v>
      </x:c>
      <x:c r="AA157" s="131" t="n">
        <x:f>IF(A157="","",ROUND(SUM($K157:$K$407)-Z157,2))</x:f>
        <x:v>25449.27</x:v>
      </x:c>
      <x:c r="AB157" s="77"/>
      <x:c r="AC157" s="36" t="str">
        <x:f>IF(A157="","",IF(O157&gt;0,"Vencido: saldo da fatura + mora",IF(O157&lt;=0,"Vincendo: VP da parcela financeira; comissão/proteção futuras isentas","")))</x:f>
        <x:v>Vincendo: VP da parcela financeira; comissão/proteção futuras isentas</x:v>
      </x:c>
    </x:row>
    <x:row r="158">
      <x:c r="A158" s="129" t="n">
        <x:f>IF(ROW()-7&lt;=Contrato!$C$16,ROW()-7,"")</x:f>
        <x:v>151</x:v>
      </x:c>
      <x:c r="B158" s="129" t="n">
        <x:f>IF(A158="","",Contrato!$C$16)</x:f>
        <x:v>209</x:v>
      </x:c>
      <x:c r="C158" s="130" t="n">
        <x:f>IF(A158="","",IF(AB158&lt;&gt;"",AB158,IF(Contrato!$C$14="Mensal",EDATE(Contrato!$C$13,A158-1),Contrato!$C$13+(A158-1)*IF(Contrato!$C$14="Quinzenal",14,IF(Contrato!$C$14="Semanal",7,1)))))</x:f>
        <x:v>47319</x:v>
      </x:c>
      <x:c r="D158" s="131" t="n">
        <x:f>IF(A158="","",W157)</x:f>
        <x:v>4156.91</x:v>
      </x:c>
      <x:c r="E158" s="131" t="n">
        <x:f>IF(A158="","",ROUND(D158*Simulador!$I$18,2))</x:f>
        <x:v>16.38</x:v>
      </x:c>
      <x:c r="F158" s="131" t="n">
        <x:f>IF(A158="","",ROUND(MIN(D158,MAX(G158-E158,0)),2))</x:f>
        <x:v>62.74</x:v>
      </x:c>
      <x:c r="G158" s="131" t="n">
        <x:f>IF(A158="","",IF(A158&lt;Contrato!$C$16,Contrato!$C$27,Contrato!$C$28))</x:f>
        <x:v>79.12</x:v>
      </x:c>
      <x:c r="H158" s="131" t="n">
        <x:f>IF(A158="","",Contrato!$C$29)</x:f>
        <x:v>199.99</x:v>
      </x:c>
      <x:c r="I158" s="131" t="n">
        <x:f>IF(A158="","",Contrato!$C$30)</x:f>
        <x:v>187.5</x:v>
      </x:c>
      <x:c r="J158" s="131" t="n">
        <x:f>IF(A158="","",Contrato!$C$31)</x:f>
        <x:v>0</x:v>
      </x:c>
      <x:c r="K158" s="131" t="n">
        <x:f>IF(A158="","",ROUND(SUM(G158:J158),2))</x:f>
        <x:v>466.61</x:v>
      </x:c>
      <x:c r="L158" s="80"/>
      <x:c r="M158" s="77"/>
      <x:c r="N158" s="29" t="str">
        <x:f>IF(A158="","",IF(L158&gt;=K158,"Paga",IF(L158&gt;0,"Paga parcialmente",IF(C158&lt;$A$5,"Vencida","Prevista"))))</x:f>
        <x:v>Prevista</x:v>
      </x:c>
      <x:c r="O158" s="29" t="n">
        <x:f>IF(A158="","",$A$5-C158)</x:f>
        <x:v>-1059</x:v>
      </x:c>
      <x:c r="P158" s="131" t="n">
        <x:f>IF(A158="","",IF(AND(O158&gt;0,MAX(K158-L158,0)&gt;0,N158&lt;&gt;"Paga"),ROUND(MAX(K158-L158,0)*'Parâmetros'!$B$34,2),0))</x:f>
        <x:v>0</x:v>
      </x:c>
      <x:c r="Q158" s="131" t="n">
        <x:f>IF(A158="","",IF(AND(O158&gt;0,MAX(K158-L158,0)&gt;0,N158&lt;&gt;"Paga"),ROUND(MAX(K158-L158,0)*'Parâmetros'!$B$35*(O158/'Parâmetros'!$B$33),2),0))</x:f>
        <x:v>0</x:v>
      </x:c>
      <x:c r="R158" s="131" t="n">
        <x:f>IF(A158="","",IF(O158&gt;0,ROUND(MAX(K158-L158,0)+P158+Q158,2),0))</x:f>
        <x:v>0</x:v>
      </x:c>
      <x:c r="S158" s="131" t="n">
        <x:f>IF(A158="","",IF(OR(N158="Paga",O158&gt;0),0,ROUND(IF(K158=0,0,G158*MAX(K158-L158,0)/K158)/(1+'Parâmetros'!$C$13)^((C158-$A$5)/30),2)))</x:f>
        <x:v>46.78</x:v>
      </x:c>
      <x:c r="T158" s="131" t="n">
        <x:f>IF(A158="","",0)</x:f>
        <x:v>0</x:v>
      </x:c>
      <x:c r="U158" s="131" t="n">
        <x:f>IF(A158="","",0)</x:f>
        <x:v>0</x:v>
      </x:c>
      <x:c r="V158" s="131" t="n">
        <x:f>IF(A158="","",IF(N158="Paga",0,IF(O158&gt;0,R158,S158)))</x:f>
        <x:v>46.78</x:v>
      </x:c>
      <x:c r="W158" s="131" t="n">
        <x:f>IF(A158="","",ROUND(MAX(D158-F158,0),2))</x:f>
        <x:v>4094.17</x:v>
      </x:c>
      <x:c r="X158" s="131" t="n">
        <x:f>IF(A158="","",ROUND(SUM($G158:$G$407),2))</x:f>
        <x:v>4666.88</x:v>
      </x:c>
      <x:c r="Y158" s="131" t="n">
        <x:f>IF(A158="","",ROUND(MAX(X158-D158,0),2))</x:f>
        <x:v>509.97</x:v>
      </x:c>
      <x:c r="Z158" s="131" t="n">
        <x:f>IF(A158="","",ROUND(SUM($V158:$V$407),2))</x:f>
        <x:v>2499.19</x:v>
      </x:c>
      <x:c r="AA158" s="131" t="n">
        <x:f>IF(A158="","",ROUND(SUM($K158:$K$407)-Z158,2))</x:f>
        <x:v>25029.6</x:v>
      </x:c>
      <x:c r="AB158" s="77"/>
      <x:c r="AC158" s="36" t="str">
        <x:f>IF(A158="","",IF(O158&gt;0,"Vencido: saldo da fatura + mora",IF(O158&lt;=0,"Vincendo: VP da parcela financeira; comissão/proteção futuras isentas","")))</x:f>
        <x:v>Vincendo: VP da parcela financeira; comissão/proteção futuras isentas</x:v>
      </x:c>
    </x:row>
    <x:row r="159">
      <x:c r="A159" s="129" t="n">
        <x:f>IF(ROW()-7&lt;=Contrato!$C$16,ROW()-7,"")</x:f>
        <x:v>152</x:v>
      </x:c>
      <x:c r="B159" s="129" t="n">
        <x:f>IF(A159="","",Contrato!$C$16)</x:f>
        <x:v>209</x:v>
      </x:c>
      <x:c r="C159" s="130" t="n">
        <x:f>IF(A159="","",IF(AB159&lt;&gt;"",AB159,IF(Contrato!$C$14="Mensal",EDATE(Contrato!$C$13,A159-1),Contrato!$C$13+(A159-1)*IF(Contrato!$C$14="Quinzenal",14,IF(Contrato!$C$14="Semanal",7,1)))))</x:f>
        <x:v>47326</x:v>
      </x:c>
      <x:c r="D159" s="131" t="n">
        <x:f>IF(A159="","",W158)</x:f>
        <x:v>4094.17</x:v>
      </x:c>
      <x:c r="E159" s="131" t="n">
        <x:f>IF(A159="","",ROUND(D159*Simulador!$I$18,2))</x:f>
        <x:v>16.14</x:v>
      </x:c>
      <x:c r="F159" s="131" t="n">
        <x:f>IF(A159="","",ROUND(MIN(D159,MAX(G159-E159,0)),2))</x:f>
        <x:v>62.98</x:v>
      </x:c>
      <x:c r="G159" s="131" t="n">
        <x:f>IF(A159="","",IF(A159&lt;Contrato!$C$16,Contrato!$C$27,Contrato!$C$28))</x:f>
        <x:v>79.12</x:v>
      </x:c>
      <x:c r="H159" s="131" t="n">
        <x:f>IF(A159="","",Contrato!$C$29)</x:f>
        <x:v>199.99</x:v>
      </x:c>
      <x:c r="I159" s="131" t="n">
        <x:f>IF(A159="","",Contrato!$C$30)</x:f>
        <x:v>187.5</x:v>
      </x:c>
      <x:c r="J159" s="131" t="n">
        <x:f>IF(A159="","",Contrato!$C$31)</x:f>
        <x:v>0</x:v>
      </x:c>
      <x:c r="K159" s="131" t="n">
        <x:f>IF(A159="","",ROUND(SUM(G159:J159),2))</x:f>
        <x:v>466.61</x:v>
      </x:c>
      <x:c r="L159" s="80"/>
      <x:c r="M159" s="77"/>
      <x:c r="N159" s="29" t="str">
        <x:f>IF(A159="","",IF(L159&gt;=K159,"Paga",IF(L159&gt;0,"Paga parcialmente",IF(C159&lt;$A$5,"Vencida","Prevista"))))</x:f>
        <x:v>Prevista</x:v>
      </x:c>
      <x:c r="O159" s="29" t="n">
        <x:f>IF(A159="","",$A$5-C159)</x:f>
        <x:v>-1066</x:v>
      </x:c>
      <x:c r="P159" s="131" t="n">
        <x:f>IF(A159="","",IF(AND(O159&gt;0,MAX(K159-L159,0)&gt;0,N159&lt;&gt;"Paga"),ROUND(MAX(K159-L159,0)*'Parâmetros'!$B$34,2),0))</x:f>
        <x:v>0</x:v>
      </x:c>
      <x:c r="Q159" s="131" t="n">
        <x:f>IF(A159="","",IF(AND(O159&gt;0,MAX(K159-L159,0)&gt;0,N159&lt;&gt;"Paga"),ROUND(MAX(K159-L159,0)*'Parâmetros'!$B$35*(O159/'Parâmetros'!$B$33),2),0))</x:f>
        <x:v>0</x:v>
      </x:c>
      <x:c r="R159" s="131" t="n">
        <x:f>IF(A159="","",IF(O159&gt;0,ROUND(MAX(K159-L159,0)+P159+Q159,2),0))</x:f>
        <x:v>0</x:v>
      </x:c>
      <x:c r="S159" s="131" t="n">
        <x:f>IF(A159="","",IF(OR(N159="Paga",O159&gt;0),0,ROUND(IF(K159=0,0,G159*MAX(K159-L159,0)/K159)/(1+'Parâmetros'!$C$13)^((C159-$A$5)/30),2)))</x:f>
        <x:v>46.62</x:v>
      </x:c>
      <x:c r="T159" s="131" t="n">
        <x:f>IF(A159="","",0)</x:f>
        <x:v>0</x:v>
      </x:c>
      <x:c r="U159" s="131" t="n">
        <x:f>IF(A159="","",0)</x:f>
        <x:v>0</x:v>
      </x:c>
      <x:c r="V159" s="131" t="n">
        <x:f>IF(A159="","",IF(N159="Paga",0,IF(O159&gt;0,R159,S159)))</x:f>
        <x:v>46.62</x:v>
      </x:c>
      <x:c r="W159" s="131" t="n">
        <x:f>IF(A159="","",ROUND(MAX(D159-F159,0),2))</x:f>
        <x:v>4031.19</x:v>
      </x:c>
      <x:c r="X159" s="131" t="n">
        <x:f>IF(A159="","",ROUND(SUM($G159:$G$407),2))</x:f>
        <x:v>4587.76</x:v>
      </x:c>
      <x:c r="Y159" s="131" t="n">
        <x:f>IF(A159="","",ROUND(MAX(X159-D159,0),2))</x:f>
        <x:v>493.59</x:v>
      </x:c>
      <x:c r="Z159" s="131" t="n">
        <x:f>IF(A159="","",ROUND(SUM($V159:$V$407),2))</x:f>
        <x:v>2452.41</x:v>
      </x:c>
      <x:c r="AA159" s="131" t="n">
        <x:f>IF(A159="","",ROUND(SUM($K159:$K$407)-Z159,2))</x:f>
        <x:v>24609.77</x:v>
      </x:c>
      <x:c r="AB159" s="77"/>
      <x:c r="AC159" s="36" t="str">
        <x:f>IF(A159="","",IF(O159&gt;0,"Vencido: saldo da fatura + mora",IF(O159&lt;=0,"Vincendo: VP da parcela financeira; comissão/proteção futuras isentas","")))</x:f>
        <x:v>Vincendo: VP da parcela financeira; comissão/proteção futuras isentas</x:v>
      </x:c>
    </x:row>
    <x:row r="160">
      <x:c r="A160" s="129" t="n">
        <x:f>IF(ROW()-7&lt;=Contrato!$C$16,ROW()-7,"")</x:f>
        <x:v>153</x:v>
      </x:c>
      <x:c r="B160" s="129" t="n">
        <x:f>IF(A160="","",Contrato!$C$16)</x:f>
        <x:v>209</x:v>
      </x:c>
      <x:c r="C160" s="130" t="n">
        <x:f>IF(A160="","",IF(AB160&lt;&gt;"",AB160,IF(Contrato!$C$14="Mensal",EDATE(Contrato!$C$13,A160-1),Contrato!$C$13+(A160-1)*IF(Contrato!$C$14="Quinzenal",14,IF(Contrato!$C$14="Semanal",7,1)))))</x:f>
        <x:v>47333</x:v>
      </x:c>
      <x:c r="D160" s="131" t="n">
        <x:f>IF(A160="","",W159)</x:f>
        <x:v>4031.19</x:v>
      </x:c>
      <x:c r="E160" s="131" t="n">
        <x:f>IF(A160="","",ROUND(D160*Simulador!$I$18,2))</x:f>
        <x:v>15.89</x:v>
      </x:c>
      <x:c r="F160" s="131" t="n">
        <x:f>IF(A160="","",ROUND(MIN(D160,MAX(G160-E160,0)),2))</x:f>
        <x:v>63.23</x:v>
      </x:c>
      <x:c r="G160" s="131" t="n">
        <x:f>IF(A160="","",IF(A160&lt;Contrato!$C$16,Contrato!$C$27,Contrato!$C$28))</x:f>
        <x:v>79.12</x:v>
      </x:c>
      <x:c r="H160" s="131" t="n">
        <x:f>IF(A160="","",Contrato!$C$29)</x:f>
        <x:v>199.99</x:v>
      </x:c>
      <x:c r="I160" s="131" t="n">
        <x:f>IF(A160="","",Contrato!$C$30)</x:f>
        <x:v>187.5</x:v>
      </x:c>
      <x:c r="J160" s="131" t="n">
        <x:f>IF(A160="","",Contrato!$C$31)</x:f>
        <x:v>0</x:v>
      </x:c>
      <x:c r="K160" s="131" t="n">
        <x:f>IF(A160="","",ROUND(SUM(G160:J160),2))</x:f>
        <x:v>466.61</x:v>
      </x:c>
      <x:c r="L160" s="80"/>
      <x:c r="M160" s="77"/>
      <x:c r="N160" s="29" t="str">
        <x:f>IF(A160="","",IF(L160&gt;=K160,"Paga",IF(L160&gt;0,"Paga parcialmente",IF(C160&lt;$A$5,"Vencida","Prevista"))))</x:f>
        <x:v>Prevista</x:v>
      </x:c>
      <x:c r="O160" s="29" t="n">
        <x:f>IF(A160="","",$A$5-C160)</x:f>
        <x:v>-1073</x:v>
      </x:c>
      <x:c r="P160" s="131" t="n">
        <x:f>IF(A160="","",IF(AND(O160&gt;0,MAX(K160-L160,0)&gt;0,N160&lt;&gt;"Paga"),ROUND(MAX(K160-L160,0)*'Parâmetros'!$B$34,2),0))</x:f>
        <x:v>0</x:v>
      </x:c>
      <x:c r="Q160" s="131" t="n">
        <x:f>IF(A160="","",IF(AND(O160&gt;0,MAX(K160-L160,0)&gt;0,N160&lt;&gt;"Paga"),ROUND(MAX(K160-L160,0)*'Parâmetros'!$B$35*(O160/'Parâmetros'!$B$33),2),0))</x:f>
        <x:v>0</x:v>
      </x:c>
      <x:c r="R160" s="131" t="n">
        <x:f>IF(A160="","",IF(O160&gt;0,ROUND(MAX(K160-L160,0)+P160+Q160,2),0))</x:f>
        <x:v>0</x:v>
      </x:c>
      <x:c r="S160" s="131" t="n">
        <x:f>IF(A160="","",IF(OR(N160="Paga",O160&gt;0),0,ROUND(IF(K160=0,0,G160*MAX(K160-L160,0)/K160)/(1+'Parâmetros'!$C$13)^((C160-$A$5)/30),2)))</x:f>
        <x:v>46.45</x:v>
      </x:c>
      <x:c r="T160" s="131" t="n">
        <x:f>IF(A160="","",0)</x:f>
        <x:v>0</x:v>
      </x:c>
      <x:c r="U160" s="131" t="n">
        <x:f>IF(A160="","",0)</x:f>
        <x:v>0</x:v>
      </x:c>
      <x:c r="V160" s="131" t="n">
        <x:f>IF(A160="","",IF(N160="Paga",0,IF(O160&gt;0,R160,S160)))</x:f>
        <x:v>46.45</x:v>
      </x:c>
      <x:c r="W160" s="131" t="n">
        <x:f>IF(A160="","",ROUND(MAX(D160-F160,0),2))</x:f>
        <x:v>3967.96</x:v>
      </x:c>
      <x:c r="X160" s="131" t="n">
        <x:f>IF(A160="","",ROUND(SUM($G160:$G$407),2))</x:f>
        <x:v>4508.64</x:v>
      </x:c>
      <x:c r="Y160" s="131" t="n">
        <x:f>IF(A160="","",ROUND(MAX(X160-D160,0),2))</x:f>
        <x:v>477.45</x:v>
      </x:c>
      <x:c r="Z160" s="131" t="n">
        <x:f>IF(A160="","",ROUND(SUM($V160:$V$407),2))</x:f>
        <x:v>2405.79</x:v>
      </x:c>
      <x:c r="AA160" s="131" t="n">
        <x:f>IF(A160="","",ROUND(SUM($K160:$K$407)-Z160,2))</x:f>
        <x:v>24189.78</x:v>
      </x:c>
      <x:c r="AB160" s="77"/>
      <x:c r="AC160" s="36" t="str">
        <x:f>IF(A160="","",IF(O160&gt;0,"Vencido: saldo da fatura + mora",IF(O160&lt;=0,"Vincendo: VP da parcela financeira; comissão/proteção futuras isentas","")))</x:f>
        <x:v>Vincendo: VP da parcela financeira; comissão/proteção futuras isentas</x:v>
      </x:c>
    </x:row>
    <x:row r="161">
      <x:c r="A161" s="129" t="n">
        <x:f>IF(ROW()-7&lt;=Contrato!$C$16,ROW()-7,"")</x:f>
        <x:v>154</x:v>
      </x:c>
      <x:c r="B161" s="129" t="n">
        <x:f>IF(A161="","",Contrato!$C$16)</x:f>
        <x:v>209</x:v>
      </x:c>
      <x:c r="C161" s="130" t="n">
        <x:f>IF(A161="","",IF(AB161&lt;&gt;"",AB161,IF(Contrato!$C$14="Mensal",EDATE(Contrato!$C$13,A161-1),Contrato!$C$13+(A161-1)*IF(Contrato!$C$14="Quinzenal",14,IF(Contrato!$C$14="Semanal",7,1)))))</x:f>
        <x:v>47340</x:v>
      </x:c>
      <x:c r="D161" s="131" t="n">
        <x:f>IF(A161="","",W160)</x:f>
        <x:v>3967.96</x:v>
      </x:c>
      <x:c r="E161" s="131" t="n">
        <x:f>IF(A161="","",ROUND(D161*Simulador!$I$18,2))</x:f>
        <x:v>15.64</x:v>
      </x:c>
      <x:c r="F161" s="131" t="n">
        <x:f>IF(A161="","",ROUND(MIN(D161,MAX(G161-E161,0)),2))</x:f>
        <x:v>63.48</x:v>
      </x:c>
      <x:c r="G161" s="131" t="n">
        <x:f>IF(A161="","",IF(A161&lt;Contrato!$C$16,Contrato!$C$27,Contrato!$C$28))</x:f>
        <x:v>79.12</x:v>
      </x:c>
      <x:c r="H161" s="131" t="n">
        <x:f>IF(A161="","",Contrato!$C$29)</x:f>
        <x:v>199.99</x:v>
      </x:c>
      <x:c r="I161" s="131" t="n">
        <x:f>IF(A161="","",Contrato!$C$30)</x:f>
        <x:v>187.5</x:v>
      </x:c>
      <x:c r="J161" s="131" t="n">
        <x:f>IF(A161="","",Contrato!$C$31)</x:f>
        <x:v>0</x:v>
      </x:c>
      <x:c r="K161" s="131" t="n">
        <x:f>IF(A161="","",ROUND(SUM(G161:J161),2))</x:f>
        <x:v>466.61</x:v>
      </x:c>
      <x:c r="L161" s="80"/>
      <x:c r="M161" s="77"/>
      <x:c r="N161" s="29" t="str">
        <x:f>IF(A161="","",IF(L161&gt;=K161,"Paga",IF(L161&gt;0,"Paga parcialmente",IF(C161&lt;$A$5,"Vencida","Prevista"))))</x:f>
        <x:v>Prevista</x:v>
      </x:c>
      <x:c r="O161" s="29" t="n">
        <x:f>IF(A161="","",$A$5-C161)</x:f>
        <x:v>-1080</x:v>
      </x:c>
      <x:c r="P161" s="131" t="n">
        <x:f>IF(A161="","",IF(AND(O161&gt;0,MAX(K161-L161,0)&gt;0,N161&lt;&gt;"Paga"),ROUND(MAX(K161-L161,0)*'Parâmetros'!$B$34,2),0))</x:f>
        <x:v>0</x:v>
      </x:c>
      <x:c r="Q161" s="131" t="n">
        <x:f>IF(A161="","",IF(AND(O161&gt;0,MAX(K161-L161,0)&gt;0,N161&lt;&gt;"Paga"),ROUND(MAX(K161-L161,0)*'Parâmetros'!$B$35*(O161/'Parâmetros'!$B$33),2),0))</x:f>
        <x:v>0</x:v>
      </x:c>
      <x:c r="R161" s="131" t="n">
        <x:f>IF(A161="","",IF(O161&gt;0,ROUND(MAX(K161-L161,0)+P161+Q161,2),0))</x:f>
        <x:v>0</x:v>
      </x:c>
      <x:c r="S161" s="131" t="n">
        <x:f>IF(A161="","",IF(OR(N161="Paga",O161&gt;0),0,ROUND(IF(K161=0,0,G161*MAX(K161-L161,0)/K161)/(1+'Parâmetros'!$C$13)^((C161-$A$5)/30),2)))</x:f>
        <x:v>46.29</x:v>
      </x:c>
      <x:c r="T161" s="131" t="n">
        <x:f>IF(A161="","",0)</x:f>
        <x:v>0</x:v>
      </x:c>
      <x:c r="U161" s="131" t="n">
        <x:f>IF(A161="","",0)</x:f>
        <x:v>0</x:v>
      </x:c>
      <x:c r="V161" s="131" t="n">
        <x:f>IF(A161="","",IF(N161="Paga",0,IF(O161&gt;0,R161,S161)))</x:f>
        <x:v>46.29</x:v>
      </x:c>
      <x:c r="W161" s="131" t="n">
        <x:f>IF(A161="","",ROUND(MAX(D161-F161,0),2))</x:f>
        <x:v>3904.48</x:v>
      </x:c>
      <x:c r="X161" s="131" t="n">
        <x:f>IF(A161="","",ROUND(SUM($G161:$G$407),2))</x:f>
        <x:v>4429.52</x:v>
      </x:c>
      <x:c r="Y161" s="131" t="n">
        <x:f>IF(A161="","",ROUND(MAX(X161-D161,0),2))</x:f>
        <x:v>461.56</x:v>
      </x:c>
      <x:c r="Z161" s="131" t="n">
        <x:f>IF(A161="","",ROUND(SUM($V161:$V$407),2))</x:f>
        <x:v>2359.34</x:v>
      </x:c>
      <x:c r="AA161" s="131" t="n">
        <x:f>IF(A161="","",ROUND(SUM($K161:$K$407)-Z161,2))</x:f>
        <x:v>23769.62</x:v>
      </x:c>
      <x:c r="AB161" s="77"/>
      <x:c r="AC161" s="36" t="str">
        <x:f>IF(A161="","",IF(O161&gt;0,"Vencido: saldo da fatura + mora",IF(O161&lt;=0,"Vincendo: VP da parcela financeira; comissão/proteção futuras isentas","")))</x:f>
        <x:v>Vincendo: VP da parcela financeira; comissão/proteção futuras isentas</x:v>
      </x:c>
    </x:row>
    <x:row r="162">
      <x:c r="A162" s="129" t="n">
        <x:f>IF(ROW()-7&lt;=Contrato!$C$16,ROW()-7,"")</x:f>
        <x:v>155</x:v>
      </x:c>
      <x:c r="B162" s="129" t="n">
        <x:f>IF(A162="","",Contrato!$C$16)</x:f>
        <x:v>209</x:v>
      </x:c>
      <x:c r="C162" s="130" t="n">
        <x:f>IF(A162="","",IF(AB162&lt;&gt;"",AB162,IF(Contrato!$C$14="Mensal",EDATE(Contrato!$C$13,A162-1),Contrato!$C$13+(A162-1)*IF(Contrato!$C$14="Quinzenal",14,IF(Contrato!$C$14="Semanal",7,1)))))</x:f>
        <x:v>47347</x:v>
      </x:c>
      <x:c r="D162" s="131" t="n">
        <x:f>IF(A162="","",W161)</x:f>
        <x:v>3904.48</x:v>
      </x:c>
      <x:c r="E162" s="131" t="n">
        <x:f>IF(A162="","",ROUND(D162*Simulador!$I$18,2))</x:f>
        <x:v>15.39</x:v>
      </x:c>
      <x:c r="F162" s="131" t="n">
        <x:f>IF(A162="","",ROUND(MIN(D162,MAX(G162-E162,0)),2))</x:f>
        <x:v>63.73</x:v>
      </x:c>
      <x:c r="G162" s="131" t="n">
        <x:f>IF(A162="","",IF(A162&lt;Contrato!$C$16,Contrato!$C$27,Contrato!$C$28))</x:f>
        <x:v>79.12</x:v>
      </x:c>
      <x:c r="H162" s="131" t="n">
        <x:f>IF(A162="","",Contrato!$C$29)</x:f>
        <x:v>199.99</x:v>
      </x:c>
      <x:c r="I162" s="131" t="n">
        <x:f>IF(A162="","",Contrato!$C$30)</x:f>
        <x:v>187.5</x:v>
      </x:c>
      <x:c r="J162" s="131" t="n">
        <x:f>IF(A162="","",Contrato!$C$31)</x:f>
        <x:v>0</x:v>
      </x:c>
      <x:c r="K162" s="131" t="n">
        <x:f>IF(A162="","",ROUND(SUM(G162:J162),2))</x:f>
        <x:v>466.61</x:v>
      </x:c>
      <x:c r="L162" s="80"/>
      <x:c r="M162" s="77"/>
      <x:c r="N162" s="29" t="str">
        <x:f>IF(A162="","",IF(L162&gt;=K162,"Paga",IF(L162&gt;0,"Paga parcialmente",IF(C162&lt;$A$5,"Vencida","Prevista"))))</x:f>
        <x:v>Prevista</x:v>
      </x:c>
      <x:c r="O162" s="29" t="n">
        <x:f>IF(A162="","",$A$5-C162)</x:f>
        <x:v>-1087</x:v>
      </x:c>
      <x:c r="P162" s="131" t="n">
        <x:f>IF(A162="","",IF(AND(O162&gt;0,MAX(K162-L162,0)&gt;0,N162&lt;&gt;"Paga"),ROUND(MAX(K162-L162,0)*'Parâmetros'!$B$34,2),0))</x:f>
        <x:v>0</x:v>
      </x:c>
      <x:c r="Q162" s="131" t="n">
        <x:f>IF(A162="","",IF(AND(O162&gt;0,MAX(K162-L162,0)&gt;0,N162&lt;&gt;"Paga"),ROUND(MAX(K162-L162,0)*'Parâmetros'!$B$35*(O162/'Parâmetros'!$B$33),2),0))</x:f>
        <x:v>0</x:v>
      </x:c>
      <x:c r="R162" s="131" t="n">
        <x:f>IF(A162="","",IF(O162&gt;0,ROUND(MAX(K162-L162,0)+P162+Q162,2),0))</x:f>
        <x:v>0</x:v>
      </x:c>
      <x:c r="S162" s="131" t="n">
        <x:f>IF(A162="","",IF(OR(N162="Paga",O162&gt;0),0,ROUND(IF(K162=0,0,G162*MAX(K162-L162,0)/K162)/(1+'Parâmetros'!$C$13)^((C162-$A$5)/30),2)))</x:f>
        <x:v>46.13</x:v>
      </x:c>
      <x:c r="T162" s="131" t="n">
        <x:f>IF(A162="","",0)</x:f>
        <x:v>0</x:v>
      </x:c>
      <x:c r="U162" s="131" t="n">
        <x:f>IF(A162="","",0)</x:f>
        <x:v>0</x:v>
      </x:c>
      <x:c r="V162" s="131" t="n">
        <x:f>IF(A162="","",IF(N162="Paga",0,IF(O162&gt;0,R162,S162)))</x:f>
        <x:v>46.13</x:v>
      </x:c>
      <x:c r="W162" s="131" t="n">
        <x:f>IF(A162="","",ROUND(MAX(D162-F162,0),2))</x:f>
        <x:v>3840.75</x:v>
      </x:c>
      <x:c r="X162" s="131" t="n">
        <x:f>IF(A162="","",ROUND(SUM($G162:$G$407),2))</x:f>
        <x:v>4350.4</x:v>
      </x:c>
      <x:c r="Y162" s="131" t="n">
        <x:f>IF(A162="","",ROUND(MAX(X162-D162,0),2))</x:f>
        <x:v>445.92</x:v>
      </x:c>
      <x:c r="Z162" s="131" t="n">
        <x:f>IF(A162="","",ROUND(SUM($V162:$V$407),2))</x:f>
        <x:v>2313.05</x:v>
      </x:c>
      <x:c r="AA162" s="131" t="n">
        <x:f>IF(A162="","",ROUND(SUM($K162:$K$407)-Z162,2))</x:f>
        <x:v>23349.3</x:v>
      </x:c>
      <x:c r="AB162" s="77"/>
      <x:c r="AC162" s="36" t="str">
        <x:f>IF(A162="","",IF(O162&gt;0,"Vencido: saldo da fatura + mora",IF(O162&lt;=0,"Vincendo: VP da parcela financeira; comissão/proteção futuras isentas","")))</x:f>
        <x:v>Vincendo: VP da parcela financeira; comissão/proteção futuras isentas</x:v>
      </x:c>
    </x:row>
    <x:row r="163">
      <x:c r="A163" s="129" t="n">
        <x:f>IF(ROW()-7&lt;=Contrato!$C$16,ROW()-7,"")</x:f>
        <x:v>156</x:v>
      </x:c>
      <x:c r="B163" s="129" t="n">
        <x:f>IF(A163="","",Contrato!$C$16)</x:f>
        <x:v>209</x:v>
      </x:c>
      <x:c r="C163" s="130" t="n">
        <x:f>IF(A163="","",IF(AB163&lt;&gt;"",AB163,IF(Contrato!$C$14="Mensal",EDATE(Contrato!$C$13,A163-1),Contrato!$C$13+(A163-1)*IF(Contrato!$C$14="Quinzenal",14,IF(Contrato!$C$14="Semanal",7,1)))))</x:f>
        <x:v>47354</x:v>
      </x:c>
      <x:c r="D163" s="131" t="n">
        <x:f>IF(A163="","",W162)</x:f>
        <x:v>3840.75</x:v>
      </x:c>
      <x:c r="E163" s="131" t="n">
        <x:f>IF(A163="","",ROUND(D163*Simulador!$I$18,2))</x:f>
        <x:v>15.14</x:v>
      </x:c>
      <x:c r="F163" s="131" t="n">
        <x:f>IF(A163="","",ROUND(MIN(D163,MAX(G163-E163,0)),2))</x:f>
        <x:v>63.98</x:v>
      </x:c>
      <x:c r="G163" s="131" t="n">
        <x:f>IF(A163="","",IF(A163&lt;Contrato!$C$16,Contrato!$C$27,Contrato!$C$28))</x:f>
        <x:v>79.12</x:v>
      </x:c>
      <x:c r="H163" s="131" t="n">
        <x:f>IF(A163="","",Contrato!$C$29)</x:f>
        <x:v>199.99</x:v>
      </x:c>
      <x:c r="I163" s="131" t="n">
        <x:f>IF(A163="","",Contrato!$C$30)</x:f>
        <x:v>187.5</x:v>
      </x:c>
      <x:c r="J163" s="131" t="n">
        <x:f>IF(A163="","",Contrato!$C$31)</x:f>
        <x:v>0</x:v>
      </x:c>
      <x:c r="K163" s="131" t="n">
        <x:f>IF(A163="","",ROUND(SUM(G163:J163),2))</x:f>
        <x:v>466.61</x:v>
      </x:c>
      <x:c r="L163" s="80"/>
      <x:c r="M163" s="77"/>
      <x:c r="N163" s="29" t="str">
        <x:f>IF(A163="","",IF(L163&gt;=K163,"Paga",IF(L163&gt;0,"Paga parcialmente",IF(C163&lt;$A$5,"Vencida","Prevista"))))</x:f>
        <x:v>Prevista</x:v>
      </x:c>
      <x:c r="O163" s="29" t="n">
        <x:f>IF(A163="","",$A$5-C163)</x:f>
        <x:v>-1094</x:v>
      </x:c>
      <x:c r="P163" s="131" t="n">
        <x:f>IF(A163="","",IF(AND(O163&gt;0,MAX(K163-L163,0)&gt;0,N163&lt;&gt;"Paga"),ROUND(MAX(K163-L163,0)*'Parâmetros'!$B$34,2),0))</x:f>
        <x:v>0</x:v>
      </x:c>
      <x:c r="Q163" s="131" t="n">
        <x:f>IF(A163="","",IF(AND(O163&gt;0,MAX(K163-L163,0)&gt;0,N163&lt;&gt;"Paga"),ROUND(MAX(K163-L163,0)*'Parâmetros'!$B$35*(O163/'Parâmetros'!$B$33),2),0))</x:f>
        <x:v>0</x:v>
      </x:c>
      <x:c r="R163" s="131" t="n">
        <x:f>IF(A163="","",IF(O163&gt;0,ROUND(MAX(K163-L163,0)+P163+Q163,2),0))</x:f>
        <x:v>0</x:v>
      </x:c>
      <x:c r="S163" s="131" t="n">
        <x:f>IF(A163="","",IF(OR(N163="Paga",O163&gt;0),0,ROUND(IF(K163=0,0,G163*MAX(K163-L163,0)/K163)/(1+'Parâmetros'!$C$13)^((C163-$A$5)/30),2)))</x:f>
        <x:v>45.97</x:v>
      </x:c>
      <x:c r="T163" s="131" t="n">
        <x:f>IF(A163="","",0)</x:f>
        <x:v>0</x:v>
      </x:c>
      <x:c r="U163" s="131" t="n">
        <x:f>IF(A163="","",0)</x:f>
        <x:v>0</x:v>
      </x:c>
      <x:c r="V163" s="131" t="n">
        <x:f>IF(A163="","",IF(N163="Paga",0,IF(O163&gt;0,R163,S163)))</x:f>
        <x:v>45.97</x:v>
      </x:c>
      <x:c r="W163" s="131" t="n">
        <x:f>IF(A163="","",ROUND(MAX(D163-F163,0),2))</x:f>
        <x:v>3776.77</x:v>
      </x:c>
      <x:c r="X163" s="131" t="n">
        <x:f>IF(A163="","",ROUND(SUM($G163:$G$407),2))</x:f>
        <x:v>4271.28</x:v>
      </x:c>
      <x:c r="Y163" s="131" t="n">
        <x:f>IF(A163="","",ROUND(MAX(X163-D163,0),2))</x:f>
        <x:v>430.53</x:v>
      </x:c>
      <x:c r="Z163" s="131" t="n">
        <x:f>IF(A163="","",ROUND(SUM($V163:$V$407),2))</x:f>
        <x:v>2266.92</x:v>
      </x:c>
      <x:c r="AA163" s="131" t="n">
        <x:f>IF(A163="","",ROUND(SUM($K163:$K$407)-Z163,2))</x:f>
        <x:v>22928.82</x:v>
      </x:c>
      <x:c r="AB163" s="77"/>
      <x:c r="AC163" s="36" t="str">
        <x:f>IF(A163="","",IF(O163&gt;0,"Vencido: saldo da fatura + mora",IF(O163&lt;=0,"Vincendo: VP da parcela financeira; comissão/proteção futuras isentas","")))</x:f>
        <x:v>Vincendo: VP da parcela financeira; comissão/proteção futuras isentas</x:v>
      </x:c>
    </x:row>
    <x:row r="164">
      <x:c r="A164" s="129" t="n">
        <x:f>IF(ROW()-7&lt;=Contrato!$C$16,ROW()-7,"")</x:f>
        <x:v>157</x:v>
      </x:c>
      <x:c r="B164" s="129" t="n">
        <x:f>IF(A164="","",Contrato!$C$16)</x:f>
        <x:v>209</x:v>
      </x:c>
      <x:c r="C164" s="130" t="n">
        <x:f>IF(A164="","",IF(AB164&lt;&gt;"",AB164,IF(Contrato!$C$14="Mensal",EDATE(Contrato!$C$13,A164-1),Contrato!$C$13+(A164-1)*IF(Contrato!$C$14="Quinzenal",14,IF(Contrato!$C$14="Semanal",7,1)))))</x:f>
        <x:v>47361</x:v>
      </x:c>
      <x:c r="D164" s="131" t="n">
        <x:f>IF(A164="","",W163)</x:f>
        <x:v>3776.77</x:v>
      </x:c>
      <x:c r="E164" s="131" t="n">
        <x:f>IF(A164="","",ROUND(D164*Simulador!$I$18,2))</x:f>
        <x:v>14.88</x:v>
      </x:c>
      <x:c r="F164" s="131" t="n">
        <x:f>IF(A164="","",ROUND(MIN(D164,MAX(G164-E164,0)),2))</x:f>
        <x:v>64.24</x:v>
      </x:c>
      <x:c r="G164" s="131" t="n">
        <x:f>IF(A164="","",IF(A164&lt;Contrato!$C$16,Contrato!$C$27,Contrato!$C$28))</x:f>
        <x:v>79.12</x:v>
      </x:c>
      <x:c r="H164" s="131" t="n">
        <x:f>IF(A164="","",Contrato!$C$29)</x:f>
        <x:v>199.99</x:v>
      </x:c>
      <x:c r="I164" s="131" t="n">
        <x:f>IF(A164="","",Contrato!$C$30)</x:f>
        <x:v>187.5</x:v>
      </x:c>
      <x:c r="J164" s="131" t="n">
        <x:f>IF(A164="","",Contrato!$C$31)</x:f>
        <x:v>0</x:v>
      </x:c>
      <x:c r="K164" s="131" t="n">
        <x:f>IF(A164="","",ROUND(SUM(G164:J164),2))</x:f>
        <x:v>466.61</x:v>
      </x:c>
      <x:c r="L164" s="80"/>
      <x:c r="M164" s="77"/>
      <x:c r="N164" s="29" t="str">
        <x:f>IF(A164="","",IF(L164&gt;=K164,"Paga",IF(L164&gt;0,"Paga parcialmente",IF(C164&lt;$A$5,"Vencida","Prevista"))))</x:f>
        <x:v>Prevista</x:v>
      </x:c>
      <x:c r="O164" s="29" t="n">
        <x:f>IF(A164="","",$A$5-C164)</x:f>
        <x:v>-1101</x:v>
      </x:c>
      <x:c r="P164" s="131" t="n">
        <x:f>IF(A164="","",IF(AND(O164&gt;0,MAX(K164-L164,0)&gt;0,N164&lt;&gt;"Paga"),ROUND(MAX(K164-L164,0)*'Parâmetros'!$B$34,2),0))</x:f>
        <x:v>0</x:v>
      </x:c>
      <x:c r="Q164" s="131" t="n">
        <x:f>IF(A164="","",IF(AND(O164&gt;0,MAX(K164-L164,0)&gt;0,N164&lt;&gt;"Paga"),ROUND(MAX(K164-L164,0)*'Parâmetros'!$B$35*(O164/'Parâmetros'!$B$33),2),0))</x:f>
        <x:v>0</x:v>
      </x:c>
      <x:c r="R164" s="131" t="n">
        <x:f>IF(A164="","",IF(O164&gt;0,ROUND(MAX(K164-L164,0)+P164+Q164,2),0))</x:f>
        <x:v>0</x:v>
      </x:c>
      <x:c r="S164" s="131" t="n">
        <x:f>IF(A164="","",IF(OR(N164="Paga",O164&gt;0),0,ROUND(IF(K164=0,0,G164*MAX(K164-L164,0)/K164)/(1+'Parâmetros'!$C$13)^((C164-$A$5)/30),2)))</x:f>
        <x:v>45.81</x:v>
      </x:c>
      <x:c r="T164" s="131" t="n">
        <x:f>IF(A164="","",0)</x:f>
        <x:v>0</x:v>
      </x:c>
      <x:c r="U164" s="131" t="n">
        <x:f>IF(A164="","",0)</x:f>
        <x:v>0</x:v>
      </x:c>
      <x:c r="V164" s="131" t="n">
        <x:f>IF(A164="","",IF(N164="Paga",0,IF(O164&gt;0,R164,S164)))</x:f>
        <x:v>45.81</x:v>
      </x:c>
      <x:c r="W164" s="131" t="n">
        <x:f>IF(A164="","",ROUND(MAX(D164-F164,0),2))</x:f>
        <x:v>3712.53</x:v>
      </x:c>
      <x:c r="X164" s="131" t="n">
        <x:f>IF(A164="","",ROUND(SUM($G164:$G$407),2))</x:f>
        <x:v>4192.16</x:v>
      </x:c>
      <x:c r="Y164" s="131" t="n">
        <x:f>IF(A164="","",ROUND(MAX(X164-D164,0),2))</x:f>
        <x:v>415.39</x:v>
      </x:c>
      <x:c r="Z164" s="131" t="n">
        <x:f>IF(A164="","",ROUND(SUM($V164:$V$407),2))</x:f>
        <x:v>2220.95</x:v>
      </x:c>
      <x:c r="AA164" s="131" t="n">
        <x:f>IF(A164="","",ROUND(SUM($K164:$K$407)-Z164,2))</x:f>
        <x:v>22508.18</x:v>
      </x:c>
      <x:c r="AB164" s="77"/>
      <x:c r="AC164" s="36" t="str">
        <x:f>IF(A164="","",IF(O164&gt;0,"Vencido: saldo da fatura + mora",IF(O164&lt;=0,"Vincendo: VP da parcela financeira; comissão/proteção futuras isentas","")))</x:f>
        <x:v>Vincendo: VP da parcela financeira; comissão/proteção futuras isentas</x:v>
      </x:c>
    </x:row>
    <x:row r="165">
      <x:c r="A165" s="129" t="n">
        <x:f>IF(ROW()-7&lt;=Contrato!$C$16,ROW()-7,"")</x:f>
        <x:v>158</x:v>
      </x:c>
      <x:c r="B165" s="129" t="n">
        <x:f>IF(A165="","",Contrato!$C$16)</x:f>
        <x:v>209</x:v>
      </x:c>
      <x:c r="C165" s="130" t="n">
        <x:f>IF(A165="","",IF(AB165&lt;&gt;"",AB165,IF(Contrato!$C$14="Mensal",EDATE(Contrato!$C$13,A165-1),Contrato!$C$13+(A165-1)*IF(Contrato!$C$14="Quinzenal",14,IF(Contrato!$C$14="Semanal",7,1)))))</x:f>
        <x:v>47368</x:v>
      </x:c>
      <x:c r="D165" s="131" t="n">
        <x:f>IF(A165="","",W164)</x:f>
        <x:v>3712.53</x:v>
      </x:c>
      <x:c r="E165" s="131" t="n">
        <x:f>IF(A165="","",ROUND(D165*Simulador!$I$18,2))</x:f>
        <x:v>14.63</x:v>
      </x:c>
      <x:c r="F165" s="131" t="n">
        <x:f>IF(A165="","",ROUND(MIN(D165,MAX(G165-E165,0)),2))</x:f>
        <x:v>64.49</x:v>
      </x:c>
      <x:c r="G165" s="131" t="n">
        <x:f>IF(A165="","",IF(A165&lt;Contrato!$C$16,Contrato!$C$27,Contrato!$C$28))</x:f>
        <x:v>79.12</x:v>
      </x:c>
      <x:c r="H165" s="131" t="n">
        <x:f>IF(A165="","",Contrato!$C$29)</x:f>
        <x:v>199.99</x:v>
      </x:c>
      <x:c r="I165" s="131" t="n">
        <x:f>IF(A165="","",Contrato!$C$30)</x:f>
        <x:v>187.5</x:v>
      </x:c>
      <x:c r="J165" s="131" t="n">
        <x:f>IF(A165="","",Contrato!$C$31)</x:f>
        <x:v>0</x:v>
      </x:c>
      <x:c r="K165" s="131" t="n">
        <x:f>IF(A165="","",ROUND(SUM(G165:J165),2))</x:f>
        <x:v>466.61</x:v>
      </x:c>
      <x:c r="L165" s="80"/>
      <x:c r="M165" s="77"/>
      <x:c r="N165" s="29" t="str">
        <x:f>IF(A165="","",IF(L165&gt;=K165,"Paga",IF(L165&gt;0,"Paga parcialmente",IF(C165&lt;$A$5,"Vencida","Prevista"))))</x:f>
        <x:v>Prevista</x:v>
      </x:c>
      <x:c r="O165" s="29" t="n">
        <x:f>IF(A165="","",$A$5-C165)</x:f>
        <x:v>-1108</x:v>
      </x:c>
      <x:c r="P165" s="131" t="n">
        <x:f>IF(A165="","",IF(AND(O165&gt;0,MAX(K165-L165,0)&gt;0,N165&lt;&gt;"Paga"),ROUND(MAX(K165-L165,0)*'Parâmetros'!$B$34,2),0))</x:f>
        <x:v>0</x:v>
      </x:c>
      <x:c r="Q165" s="131" t="n">
        <x:f>IF(A165="","",IF(AND(O165&gt;0,MAX(K165-L165,0)&gt;0,N165&lt;&gt;"Paga"),ROUND(MAX(K165-L165,0)*'Parâmetros'!$B$35*(O165/'Parâmetros'!$B$33),2),0))</x:f>
        <x:v>0</x:v>
      </x:c>
      <x:c r="R165" s="131" t="n">
        <x:f>IF(A165="","",IF(O165&gt;0,ROUND(MAX(K165-L165,0)+P165+Q165,2),0))</x:f>
        <x:v>0</x:v>
      </x:c>
      <x:c r="S165" s="131" t="n">
        <x:f>IF(A165="","",IF(OR(N165="Paga",O165&gt;0),0,ROUND(IF(K165=0,0,G165*MAX(K165-L165,0)/K165)/(1+'Parâmetros'!$C$13)^((C165-$A$5)/30),2)))</x:f>
        <x:v>45.65</x:v>
      </x:c>
      <x:c r="T165" s="131" t="n">
        <x:f>IF(A165="","",0)</x:f>
        <x:v>0</x:v>
      </x:c>
      <x:c r="U165" s="131" t="n">
        <x:f>IF(A165="","",0)</x:f>
        <x:v>0</x:v>
      </x:c>
      <x:c r="V165" s="131" t="n">
        <x:f>IF(A165="","",IF(N165="Paga",0,IF(O165&gt;0,R165,S165)))</x:f>
        <x:v>45.65</x:v>
      </x:c>
      <x:c r="W165" s="131" t="n">
        <x:f>IF(A165="","",ROUND(MAX(D165-F165,0),2))</x:f>
        <x:v>3648.04</x:v>
      </x:c>
      <x:c r="X165" s="131" t="n">
        <x:f>IF(A165="","",ROUND(SUM($G165:$G$407),2))</x:f>
        <x:v>4113.04</x:v>
      </x:c>
      <x:c r="Y165" s="131" t="n">
        <x:f>IF(A165="","",ROUND(MAX(X165-D165,0),2))</x:f>
        <x:v>400.51</x:v>
      </x:c>
      <x:c r="Z165" s="131" t="n">
        <x:f>IF(A165="","",ROUND(SUM($V165:$V$407),2))</x:f>
        <x:v>2175.14</x:v>
      </x:c>
      <x:c r="AA165" s="131" t="n">
        <x:f>IF(A165="","",ROUND(SUM($K165:$K$407)-Z165,2))</x:f>
        <x:v>22087.38</x:v>
      </x:c>
      <x:c r="AB165" s="77"/>
      <x:c r="AC165" s="36" t="str">
        <x:f>IF(A165="","",IF(O165&gt;0,"Vencido: saldo da fatura + mora",IF(O165&lt;=0,"Vincendo: VP da parcela financeira; comissão/proteção futuras isentas","")))</x:f>
        <x:v>Vincendo: VP da parcela financeira; comissão/proteção futuras isentas</x:v>
      </x:c>
    </x:row>
    <x:row r="166">
      <x:c r="A166" s="129" t="n">
        <x:f>IF(ROW()-7&lt;=Contrato!$C$16,ROW()-7,"")</x:f>
        <x:v>159</x:v>
      </x:c>
      <x:c r="B166" s="129" t="n">
        <x:f>IF(A166="","",Contrato!$C$16)</x:f>
        <x:v>209</x:v>
      </x:c>
      <x:c r="C166" s="130" t="n">
        <x:f>IF(A166="","",IF(AB166&lt;&gt;"",AB166,IF(Contrato!$C$14="Mensal",EDATE(Contrato!$C$13,A166-1),Contrato!$C$13+(A166-1)*IF(Contrato!$C$14="Quinzenal",14,IF(Contrato!$C$14="Semanal",7,1)))))</x:f>
        <x:v>47375</x:v>
      </x:c>
      <x:c r="D166" s="131" t="n">
        <x:f>IF(A166="","",W165)</x:f>
        <x:v>3648.04</x:v>
      </x:c>
      <x:c r="E166" s="131" t="n">
        <x:f>IF(A166="","",ROUND(D166*Simulador!$I$18,2))</x:f>
        <x:v>14.38</x:v>
      </x:c>
      <x:c r="F166" s="131" t="n">
        <x:f>IF(A166="","",ROUND(MIN(D166,MAX(G166-E166,0)),2))</x:f>
        <x:v>64.74</x:v>
      </x:c>
      <x:c r="G166" s="131" t="n">
        <x:f>IF(A166="","",IF(A166&lt;Contrato!$C$16,Contrato!$C$27,Contrato!$C$28))</x:f>
        <x:v>79.12</x:v>
      </x:c>
      <x:c r="H166" s="131" t="n">
        <x:f>IF(A166="","",Contrato!$C$29)</x:f>
        <x:v>199.99</x:v>
      </x:c>
      <x:c r="I166" s="131" t="n">
        <x:f>IF(A166="","",Contrato!$C$30)</x:f>
        <x:v>187.5</x:v>
      </x:c>
      <x:c r="J166" s="131" t="n">
        <x:f>IF(A166="","",Contrato!$C$31)</x:f>
        <x:v>0</x:v>
      </x:c>
      <x:c r="K166" s="131" t="n">
        <x:f>IF(A166="","",ROUND(SUM(G166:J166),2))</x:f>
        <x:v>466.61</x:v>
      </x:c>
      <x:c r="L166" s="80"/>
      <x:c r="M166" s="77"/>
      <x:c r="N166" s="29" t="str">
        <x:f>IF(A166="","",IF(L166&gt;=K166,"Paga",IF(L166&gt;0,"Paga parcialmente",IF(C166&lt;$A$5,"Vencida","Prevista"))))</x:f>
        <x:v>Prevista</x:v>
      </x:c>
      <x:c r="O166" s="29" t="n">
        <x:f>IF(A166="","",$A$5-C166)</x:f>
        <x:v>-1115</x:v>
      </x:c>
      <x:c r="P166" s="131" t="n">
        <x:f>IF(A166="","",IF(AND(O166&gt;0,MAX(K166-L166,0)&gt;0,N166&lt;&gt;"Paga"),ROUND(MAX(K166-L166,0)*'Parâmetros'!$B$34,2),0))</x:f>
        <x:v>0</x:v>
      </x:c>
      <x:c r="Q166" s="131" t="n">
        <x:f>IF(A166="","",IF(AND(O166&gt;0,MAX(K166-L166,0)&gt;0,N166&lt;&gt;"Paga"),ROUND(MAX(K166-L166,0)*'Parâmetros'!$B$35*(O166/'Parâmetros'!$B$33),2),0))</x:f>
        <x:v>0</x:v>
      </x:c>
      <x:c r="R166" s="131" t="n">
        <x:f>IF(A166="","",IF(O166&gt;0,ROUND(MAX(K166-L166,0)+P166+Q166,2),0))</x:f>
        <x:v>0</x:v>
      </x:c>
      <x:c r="S166" s="131" t="n">
        <x:f>IF(A166="","",IF(OR(N166="Paga",O166&gt;0),0,ROUND(IF(K166=0,0,G166*MAX(K166-L166,0)/K166)/(1+'Parâmetros'!$C$13)^((C166-$A$5)/30),2)))</x:f>
        <x:v>45.5</x:v>
      </x:c>
      <x:c r="T166" s="131" t="n">
        <x:f>IF(A166="","",0)</x:f>
        <x:v>0</x:v>
      </x:c>
      <x:c r="U166" s="131" t="n">
        <x:f>IF(A166="","",0)</x:f>
        <x:v>0</x:v>
      </x:c>
      <x:c r="V166" s="131" t="n">
        <x:f>IF(A166="","",IF(N166="Paga",0,IF(O166&gt;0,R166,S166)))</x:f>
        <x:v>45.5</x:v>
      </x:c>
      <x:c r="W166" s="131" t="n">
        <x:f>IF(A166="","",ROUND(MAX(D166-F166,0),2))</x:f>
        <x:v>3583.3</x:v>
      </x:c>
      <x:c r="X166" s="131" t="n">
        <x:f>IF(A166="","",ROUND(SUM($G166:$G$407),2))</x:f>
        <x:v>4033.92</x:v>
      </x:c>
      <x:c r="Y166" s="131" t="n">
        <x:f>IF(A166="","",ROUND(MAX(X166-D166,0),2))</x:f>
        <x:v>385.88</x:v>
      </x:c>
      <x:c r="Z166" s="131" t="n">
        <x:f>IF(A166="","",ROUND(SUM($V166:$V$407),2))</x:f>
        <x:v>2129.49</x:v>
      </x:c>
      <x:c r="AA166" s="131" t="n">
        <x:f>IF(A166="","",ROUND(SUM($K166:$K$407)-Z166,2))</x:f>
        <x:v>21666.42</x:v>
      </x:c>
      <x:c r="AB166" s="77"/>
      <x:c r="AC166" s="36" t="str">
        <x:f>IF(A166="","",IF(O166&gt;0,"Vencido: saldo da fatura + mora",IF(O166&lt;=0,"Vincendo: VP da parcela financeira; comissão/proteção futuras isentas","")))</x:f>
        <x:v>Vincendo: VP da parcela financeira; comissão/proteção futuras isentas</x:v>
      </x:c>
    </x:row>
    <x:row r="167">
      <x:c r="A167" s="129" t="n">
        <x:f>IF(ROW()-7&lt;=Contrato!$C$16,ROW()-7,"")</x:f>
        <x:v>160</x:v>
      </x:c>
      <x:c r="B167" s="129" t="n">
        <x:f>IF(A167="","",Contrato!$C$16)</x:f>
        <x:v>209</x:v>
      </x:c>
      <x:c r="C167" s="130" t="n">
        <x:f>IF(A167="","",IF(AB167&lt;&gt;"",AB167,IF(Contrato!$C$14="Mensal",EDATE(Contrato!$C$13,A167-1),Contrato!$C$13+(A167-1)*IF(Contrato!$C$14="Quinzenal",14,IF(Contrato!$C$14="Semanal",7,1)))))</x:f>
        <x:v>47382</x:v>
      </x:c>
      <x:c r="D167" s="131" t="n">
        <x:f>IF(A167="","",W166)</x:f>
        <x:v>3583.3</x:v>
      </x:c>
      <x:c r="E167" s="131" t="n">
        <x:f>IF(A167="","",ROUND(D167*Simulador!$I$18,2))</x:f>
        <x:v>14.12</x:v>
      </x:c>
      <x:c r="F167" s="131" t="n">
        <x:f>IF(A167="","",ROUND(MIN(D167,MAX(G167-E167,0)),2))</x:f>
        <x:v>65</x:v>
      </x:c>
      <x:c r="G167" s="131" t="n">
        <x:f>IF(A167="","",IF(A167&lt;Contrato!$C$16,Contrato!$C$27,Contrato!$C$28))</x:f>
        <x:v>79.12</x:v>
      </x:c>
      <x:c r="H167" s="131" t="n">
        <x:f>IF(A167="","",Contrato!$C$29)</x:f>
        <x:v>199.99</x:v>
      </x:c>
      <x:c r="I167" s="131" t="n">
        <x:f>IF(A167="","",Contrato!$C$30)</x:f>
        <x:v>187.5</x:v>
      </x:c>
      <x:c r="J167" s="131" t="n">
        <x:f>IF(A167="","",Contrato!$C$31)</x:f>
        <x:v>0</x:v>
      </x:c>
      <x:c r="K167" s="131" t="n">
        <x:f>IF(A167="","",ROUND(SUM(G167:J167),2))</x:f>
        <x:v>466.61</x:v>
      </x:c>
      <x:c r="L167" s="80"/>
      <x:c r="M167" s="77"/>
      <x:c r="N167" s="29" t="str">
        <x:f>IF(A167="","",IF(L167&gt;=K167,"Paga",IF(L167&gt;0,"Paga parcialmente",IF(C167&lt;$A$5,"Vencida","Prevista"))))</x:f>
        <x:v>Prevista</x:v>
      </x:c>
      <x:c r="O167" s="29" t="n">
        <x:f>IF(A167="","",$A$5-C167)</x:f>
        <x:v>-1122</x:v>
      </x:c>
      <x:c r="P167" s="131" t="n">
        <x:f>IF(A167="","",IF(AND(O167&gt;0,MAX(K167-L167,0)&gt;0,N167&lt;&gt;"Paga"),ROUND(MAX(K167-L167,0)*'Parâmetros'!$B$34,2),0))</x:f>
        <x:v>0</x:v>
      </x:c>
      <x:c r="Q167" s="131" t="n">
        <x:f>IF(A167="","",IF(AND(O167&gt;0,MAX(K167-L167,0)&gt;0,N167&lt;&gt;"Paga"),ROUND(MAX(K167-L167,0)*'Parâmetros'!$B$35*(O167/'Parâmetros'!$B$33),2),0))</x:f>
        <x:v>0</x:v>
      </x:c>
      <x:c r="R167" s="131" t="n">
        <x:f>IF(A167="","",IF(O167&gt;0,ROUND(MAX(K167-L167,0)+P167+Q167,2),0))</x:f>
        <x:v>0</x:v>
      </x:c>
      <x:c r="S167" s="131" t="n">
        <x:f>IF(A167="","",IF(OR(N167="Paga",O167&gt;0),0,ROUND(IF(K167=0,0,G167*MAX(K167-L167,0)/K167)/(1+'Parâmetros'!$C$13)^((C167-$A$5)/30),2)))</x:f>
        <x:v>45.34</x:v>
      </x:c>
      <x:c r="T167" s="131" t="n">
        <x:f>IF(A167="","",0)</x:f>
        <x:v>0</x:v>
      </x:c>
      <x:c r="U167" s="131" t="n">
        <x:f>IF(A167="","",0)</x:f>
        <x:v>0</x:v>
      </x:c>
      <x:c r="V167" s="131" t="n">
        <x:f>IF(A167="","",IF(N167="Paga",0,IF(O167&gt;0,R167,S167)))</x:f>
        <x:v>45.34</x:v>
      </x:c>
      <x:c r="W167" s="131" t="n">
        <x:f>IF(A167="","",ROUND(MAX(D167-F167,0),2))</x:f>
        <x:v>3518.3</x:v>
      </x:c>
      <x:c r="X167" s="131" t="n">
        <x:f>IF(A167="","",ROUND(SUM($G167:$G$407),2))</x:f>
        <x:v>3954.8</x:v>
      </x:c>
      <x:c r="Y167" s="131" t="n">
        <x:f>IF(A167="","",ROUND(MAX(X167-D167,0),2))</x:f>
        <x:v>371.5</x:v>
      </x:c>
      <x:c r="Z167" s="131" t="n">
        <x:f>IF(A167="","",ROUND(SUM($V167:$V$407),2))</x:f>
        <x:v>2083.99</x:v>
      </x:c>
      <x:c r="AA167" s="131" t="n">
        <x:f>IF(A167="","",ROUND(SUM($K167:$K$407)-Z167,2))</x:f>
        <x:v>21245.31</x:v>
      </x:c>
      <x:c r="AB167" s="77"/>
      <x:c r="AC167" s="36" t="str">
        <x:f>IF(A167="","",IF(O167&gt;0,"Vencido: saldo da fatura + mora",IF(O167&lt;=0,"Vincendo: VP da parcela financeira; comissão/proteção futuras isentas","")))</x:f>
        <x:v>Vincendo: VP da parcela financeira; comissão/proteção futuras isentas</x:v>
      </x:c>
    </x:row>
    <x:row r="168">
      <x:c r="A168" s="129" t="n">
        <x:f>IF(ROW()-7&lt;=Contrato!$C$16,ROW()-7,"")</x:f>
        <x:v>161</x:v>
      </x:c>
      <x:c r="B168" s="129" t="n">
        <x:f>IF(A168="","",Contrato!$C$16)</x:f>
        <x:v>209</x:v>
      </x:c>
      <x:c r="C168" s="130" t="n">
        <x:f>IF(A168="","",IF(AB168&lt;&gt;"",AB168,IF(Contrato!$C$14="Mensal",EDATE(Contrato!$C$13,A168-1),Contrato!$C$13+(A168-1)*IF(Contrato!$C$14="Quinzenal",14,IF(Contrato!$C$14="Semanal",7,1)))))</x:f>
        <x:v>47389</x:v>
      </x:c>
      <x:c r="D168" s="131" t="n">
        <x:f>IF(A168="","",W167)</x:f>
        <x:v>3518.3</x:v>
      </x:c>
      <x:c r="E168" s="131" t="n">
        <x:f>IF(A168="","",ROUND(D168*Simulador!$I$18,2))</x:f>
        <x:v>13.87</x:v>
      </x:c>
      <x:c r="F168" s="131" t="n">
        <x:f>IF(A168="","",ROUND(MIN(D168,MAX(G168-E168,0)),2))</x:f>
        <x:v>65.25</x:v>
      </x:c>
      <x:c r="G168" s="131" t="n">
        <x:f>IF(A168="","",IF(A168&lt;Contrato!$C$16,Contrato!$C$27,Contrato!$C$28))</x:f>
        <x:v>79.12</x:v>
      </x:c>
      <x:c r="H168" s="131" t="n">
        <x:f>IF(A168="","",Contrato!$C$29)</x:f>
        <x:v>199.99</x:v>
      </x:c>
      <x:c r="I168" s="131" t="n">
        <x:f>IF(A168="","",Contrato!$C$30)</x:f>
        <x:v>187.5</x:v>
      </x:c>
      <x:c r="J168" s="131" t="n">
        <x:f>IF(A168="","",Contrato!$C$31)</x:f>
        <x:v>0</x:v>
      </x:c>
      <x:c r="K168" s="131" t="n">
        <x:f>IF(A168="","",ROUND(SUM(G168:J168),2))</x:f>
        <x:v>466.61</x:v>
      </x:c>
      <x:c r="L168" s="80"/>
      <x:c r="M168" s="77"/>
      <x:c r="N168" s="29" t="str">
        <x:f>IF(A168="","",IF(L168&gt;=K168,"Paga",IF(L168&gt;0,"Paga parcialmente",IF(C168&lt;$A$5,"Vencida","Prevista"))))</x:f>
        <x:v>Prevista</x:v>
      </x:c>
      <x:c r="O168" s="29" t="n">
        <x:f>IF(A168="","",$A$5-C168)</x:f>
        <x:v>-1129</x:v>
      </x:c>
      <x:c r="P168" s="131" t="n">
        <x:f>IF(A168="","",IF(AND(O168&gt;0,MAX(K168-L168,0)&gt;0,N168&lt;&gt;"Paga"),ROUND(MAX(K168-L168,0)*'Parâmetros'!$B$34,2),0))</x:f>
        <x:v>0</x:v>
      </x:c>
      <x:c r="Q168" s="131" t="n">
        <x:f>IF(A168="","",IF(AND(O168&gt;0,MAX(K168-L168,0)&gt;0,N168&lt;&gt;"Paga"),ROUND(MAX(K168-L168,0)*'Parâmetros'!$B$35*(O168/'Parâmetros'!$B$33),2),0))</x:f>
        <x:v>0</x:v>
      </x:c>
      <x:c r="R168" s="131" t="n">
        <x:f>IF(A168="","",IF(O168&gt;0,ROUND(MAX(K168-L168,0)+P168+Q168,2),0))</x:f>
        <x:v>0</x:v>
      </x:c>
      <x:c r="S168" s="131" t="n">
        <x:f>IF(A168="","",IF(OR(N168="Paga",O168&gt;0),0,ROUND(IF(K168=0,0,G168*MAX(K168-L168,0)/K168)/(1+'Parâmetros'!$C$13)^((C168-$A$5)/30),2)))</x:f>
        <x:v>45.18</x:v>
      </x:c>
      <x:c r="T168" s="131" t="n">
        <x:f>IF(A168="","",0)</x:f>
        <x:v>0</x:v>
      </x:c>
      <x:c r="U168" s="131" t="n">
        <x:f>IF(A168="","",0)</x:f>
        <x:v>0</x:v>
      </x:c>
      <x:c r="V168" s="131" t="n">
        <x:f>IF(A168="","",IF(N168="Paga",0,IF(O168&gt;0,R168,S168)))</x:f>
        <x:v>45.18</x:v>
      </x:c>
      <x:c r="W168" s="131" t="n">
        <x:f>IF(A168="","",ROUND(MAX(D168-F168,0),2))</x:f>
        <x:v>3453.05</x:v>
      </x:c>
      <x:c r="X168" s="131" t="n">
        <x:f>IF(A168="","",ROUND(SUM($G168:$G$407),2))</x:f>
        <x:v>3875.68</x:v>
      </x:c>
      <x:c r="Y168" s="131" t="n">
        <x:f>IF(A168="","",ROUND(MAX(X168-D168,0),2))</x:f>
        <x:v>357.38</x:v>
      </x:c>
      <x:c r="Z168" s="131" t="n">
        <x:f>IF(A168="","",ROUND(SUM($V168:$V$407),2))</x:f>
        <x:v>2038.65</x:v>
      </x:c>
      <x:c r="AA168" s="131" t="n">
        <x:f>IF(A168="","",ROUND(SUM($K168:$K$407)-Z168,2))</x:f>
        <x:v>20824.04</x:v>
      </x:c>
      <x:c r="AB168" s="77"/>
      <x:c r="AC168" s="36" t="str">
        <x:f>IF(A168="","",IF(O168&gt;0,"Vencido: saldo da fatura + mora",IF(O168&lt;=0,"Vincendo: VP da parcela financeira; comissão/proteção futuras isentas","")))</x:f>
        <x:v>Vincendo: VP da parcela financeira; comissão/proteção futuras isentas</x:v>
      </x:c>
    </x:row>
    <x:row r="169">
      <x:c r="A169" s="129" t="n">
        <x:f>IF(ROW()-7&lt;=Contrato!$C$16,ROW()-7,"")</x:f>
        <x:v>162</x:v>
      </x:c>
      <x:c r="B169" s="129" t="n">
        <x:f>IF(A169="","",Contrato!$C$16)</x:f>
        <x:v>209</x:v>
      </x:c>
      <x:c r="C169" s="130" t="n">
        <x:f>IF(A169="","",IF(AB169&lt;&gt;"",AB169,IF(Contrato!$C$14="Mensal",EDATE(Contrato!$C$13,A169-1),Contrato!$C$13+(A169-1)*IF(Contrato!$C$14="Quinzenal",14,IF(Contrato!$C$14="Semanal",7,1)))))</x:f>
        <x:v>47396</x:v>
      </x:c>
      <x:c r="D169" s="131" t="n">
        <x:f>IF(A169="","",W168)</x:f>
        <x:v>3453.05</x:v>
      </x:c>
      <x:c r="E169" s="131" t="n">
        <x:f>IF(A169="","",ROUND(D169*Simulador!$I$18,2))</x:f>
        <x:v>13.61</x:v>
      </x:c>
      <x:c r="F169" s="131" t="n">
        <x:f>IF(A169="","",ROUND(MIN(D169,MAX(G169-E169,0)),2))</x:f>
        <x:v>65.51</x:v>
      </x:c>
      <x:c r="G169" s="131" t="n">
        <x:f>IF(A169="","",IF(A169&lt;Contrato!$C$16,Contrato!$C$27,Contrato!$C$28))</x:f>
        <x:v>79.12</x:v>
      </x:c>
      <x:c r="H169" s="131" t="n">
        <x:f>IF(A169="","",Contrato!$C$29)</x:f>
        <x:v>199.99</x:v>
      </x:c>
      <x:c r="I169" s="131" t="n">
        <x:f>IF(A169="","",Contrato!$C$30)</x:f>
        <x:v>187.5</x:v>
      </x:c>
      <x:c r="J169" s="131" t="n">
        <x:f>IF(A169="","",Contrato!$C$31)</x:f>
        <x:v>0</x:v>
      </x:c>
      <x:c r="K169" s="131" t="n">
        <x:f>IF(A169="","",ROUND(SUM(G169:J169),2))</x:f>
        <x:v>466.61</x:v>
      </x:c>
      <x:c r="L169" s="80"/>
      <x:c r="M169" s="77"/>
      <x:c r="N169" s="29" t="str">
        <x:f>IF(A169="","",IF(L169&gt;=K169,"Paga",IF(L169&gt;0,"Paga parcialmente",IF(C169&lt;$A$5,"Vencida","Prevista"))))</x:f>
        <x:v>Prevista</x:v>
      </x:c>
      <x:c r="O169" s="29" t="n">
        <x:f>IF(A169="","",$A$5-C169)</x:f>
        <x:v>-1136</x:v>
      </x:c>
      <x:c r="P169" s="131" t="n">
        <x:f>IF(A169="","",IF(AND(O169&gt;0,MAX(K169-L169,0)&gt;0,N169&lt;&gt;"Paga"),ROUND(MAX(K169-L169,0)*'Parâmetros'!$B$34,2),0))</x:f>
        <x:v>0</x:v>
      </x:c>
      <x:c r="Q169" s="131" t="n">
        <x:f>IF(A169="","",IF(AND(O169&gt;0,MAX(K169-L169,0)&gt;0,N169&lt;&gt;"Paga"),ROUND(MAX(K169-L169,0)*'Parâmetros'!$B$35*(O169/'Parâmetros'!$B$33),2),0))</x:f>
        <x:v>0</x:v>
      </x:c>
      <x:c r="R169" s="131" t="n">
        <x:f>IF(A169="","",IF(O169&gt;0,ROUND(MAX(K169-L169,0)+P169+Q169,2),0))</x:f>
        <x:v>0</x:v>
      </x:c>
      <x:c r="S169" s="131" t="n">
        <x:f>IF(A169="","",IF(OR(N169="Paga",O169&gt;0),0,ROUND(IF(K169=0,0,G169*MAX(K169-L169,0)/K169)/(1+'Parâmetros'!$C$13)^((C169-$A$5)/30),2)))</x:f>
        <x:v>45.02</x:v>
      </x:c>
      <x:c r="T169" s="131" t="n">
        <x:f>IF(A169="","",0)</x:f>
        <x:v>0</x:v>
      </x:c>
      <x:c r="U169" s="131" t="n">
        <x:f>IF(A169="","",0)</x:f>
        <x:v>0</x:v>
      </x:c>
      <x:c r="V169" s="131" t="n">
        <x:f>IF(A169="","",IF(N169="Paga",0,IF(O169&gt;0,R169,S169)))</x:f>
        <x:v>45.02</x:v>
      </x:c>
      <x:c r="W169" s="131" t="n">
        <x:f>IF(A169="","",ROUND(MAX(D169-F169,0),2))</x:f>
        <x:v>3387.54</x:v>
      </x:c>
      <x:c r="X169" s="131" t="n">
        <x:f>IF(A169="","",ROUND(SUM($G169:$G$407),2))</x:f>
        <x:v>3796.56</x:v>
      </x:c>
      <x:c r="Y169" s="131" t="n">
        <x:f>IF(A169="","",ROUND(MAX(X169-D169,0),2))</x:f>
        <x:v>343.51</x:v>
      </x:c>
      <x:c r="Z169" s="131" t="n">
        <x:f>IF(A169="","",ROUND(SUM($V169:$V$407),2))</x:f>
        <x:v>1993.47</x:v>
      </x:c>
      <x:c r="AA169" s="131" t="n">
        <x:f>IF(A169="","",ROUND(SUM($K169:$K$407)-Z169,2))</x:f>
        <x:v>20402.61</x:v>
      </x:c>
      <x:c r="AB169" s="77"/>
      <x:c r="AC169" s="36" t="str">
        <x:f>IF(A169="","",IF(O169&gt;0,"Vencido: saldo da fatura + mora",IF(O169&lt;=0,"Vincendo: VP da parcela financeira; comissão/proteção futuras isentas","")))</x:f>
        <x:v>Vincendo: VP da parcela financeira; comissão/proteção futuras isentas</x:v>
      </x:c>
    </x:row>
    <x:row r="170">
      <x:c r="A170" s="129" t="n">
        <x:f>IF(ROW()-7&lt;=Contrato!$C$16,ROW()-7,"")</x:f>
        <x:v>163</x:v>
      </x:c>
      <x:c r="B170" s="129" t="n">
        <x:f>IF(A170="","",Contrato!$C$16)</x:f>
        <x:v>209</x:v>
      </x:c>
      <x:c r="C170" s="130" t="n">
        <x:f>IF(A170="","",IF(AB170&lt;&gt;"",AB170,IF(Contrato!$C$14="Mensal",EDATE(Contrato!$C$13,A170-1),Contrato!$C$13+(A170-1)*IF(Contrato!$C$14="Quinzenal",14,IF(Contrato!$C$14="Semanal",7,1)))))</x:f>
        <x:v>47403</x:v>
      </x:c>
      <x:c r="D170" s="131" t="n">
        <x:f>IF(A170="","",W169)</x:f>
        <x:v>3387.54</x:v>
      </x:c>
      <x:c r="E170" s="131" t="n">
        <x:f>IF(A170="","",ROUND(D170*Simulador!$I$18,2))</x:f>
        <x:v>13.35</x:v>
      </x:c>
      <x:c r="F170" s="131" t="n">
        <x:f>IF(A170="","",ROUND(MIN(D170,MAX(G170-E170,0)),2))</x:f>
        <x:v>65.77</x:v>
      </x:c>
      <x:c r="G170" s="131" t="n">
        <x:f>IF(A170="","",IF(A170&lt;Contrato!$C$16,Contrato!$C$27,Contrato!$C$28))</x:f>
        <x:v>79.12</x:v>
      </x:c>
      <x:c r="H170" s="131" t="n">
        <x:f>IF(A170="","",Contrato!$C$29)</x:f>
        <x:v>199.99</x:v>
      </x:c>
      <x:c r="I170" s="131" t="n">
        <x:f>IF(A170="","",Contrato!$C$30)</x:f>
        <x:v>187.5</x:v>
      </x:c>
      <x:c r="J170" s="131" t="n">
        <x:f>IF(A170="","",Contrato!$C$31)</x:f>
        <x:v>0</x:v>
      </x:c>
      <x:c r="K170" s="131" t="n">
        <x:f>IF(A170="","",ROUND(SUM(G170:J170),2))</x:f>
        <x:v>466.61</x:v>
      </x:c>
      <x:c r="L170" s="80"/>
      <x:c r="M170" s="77"/>
      <x:c r="N170" s="29" t="str">
        <x:f>IF(A170="","",IF(L170&gt;=K170,"Paga",IF(L170&gt;0,"Paga parcialmente",IF(C170&lt;$A$5,"Vencida","Prevista"))))</x:f>
        <x:v>Prevista</x:v>
      </x:c>
      <x:c r="O170" s="29" t="n">
        <x:f>IF(A170="","",$A$5-C170)</x:f>
        <x:v>-1143</x:v>
      </x:c>
      <x:c r="P170" s="131" t="n">
        <x:f>IF(A170="","",IF(AND(O170&gt;0,MAX(K170-L170,0)&gt;0,N170&lt;&gt;"Paga"),ROUND(MAX(K170-L170,0)*'Parâmetros'!$B$34,2),0))</x:f>
        <x:v>0</x:v>
      </x:c>
      <x:c r="Q170" s="131" t="n">
        <x:f>IF(A170="","",IF(AND(O170&gt;0,MAX(K170-L170,0)&gt;0,N170&lt;&gt;"Paga"),ROUND(MAX(K170-L170,0)*'Parâmetros'!$B$35*(O170/'Parâmetros'!$B$33),2),0))</x:f>
        <x:v>0</x:v>
      </x:c>
      <x:c r="R170" s="131" t="n">
        <x:f>IF(A170="","",IF(O170&gt;0,ROUND(MAX(K170-L170,0)+P170+Q170,2),0))</x:f>
        <x:v>0</x:v>
      </x:c>
      <x:c r="S170" s="131" t="n">
        <x:f>IF(A170="","",IF(OR(N170="Paga",O170&gt;0),0,ROUND(IF(K170=0,0,G170*MAX(K170-L170,0)/K170)/(1+'Parâmetros'!$C$13)^((C170-$A$5)/30),2)))</x:f>
        <x:v>44.87</x:v>
      </x:c>
      <x:c r="T170" s="131" t="n">
        <x:f>IF(A170="","",0)</x:f>
        <x:v>0</x:v>
      </x:c>
      <x:c r="U170" s="131" t="n">
        <x:f>IF(A170="","",0)</x:f>
        <x:v>0</x:v>
      </x:c>
      <x:c r="V170" s="131" t="n">
        <x:f>IF(A170="","",IF(N170="Paga",0,IF(O170&gt;0,R170,S170)))</x:f>
        <x:v>44.87</x:v>
      </x:c>
      <x:c r="W170" s="131" t="n">
        <x:f>IF(A170="","",ROUND(MAX(D170-F170,0),2))</x:f>
        <x:v>3321.77</x:v>
      </x:c>
      <x:c r="X170" s="131" t="n">
        <x:f>IF(A170="","",ROUND(SUM($G170:$G$407),2))</x:f>
        <x:v>3717.44</x:v>
      </x:c>
      <x:c r="Y170" s="131" t="n">
        <x:f>IF(A170="","",ROUND(MAX(X170-D170,0),2))</x:f>
        <x:v>329.9</x:v>
      </x:c>
      <x:c r="Z170" s="131" t="n">
        <x:f>IF(A170="","",ROUND(SUM($V170:$V$407),2))</x:f>
        <x:v>1948.45</x:v>
      </x:c>
      <x:c r="AA170" s="131" t="n">
        <x:f>IF(A170="","",ROUND(SUM($K170:$K$407)-Z170,2))</x:f>
        <x:v>19981.02</x:v>
      </x:c>
      <x:c r="AB170" s="77"/>
      <x:c r="AC170" s="36" t="str">
        <x:f>IF(A170="","",IF(O170&gt;0,"Vencido: saldo da fatura + mora",IF(O170&lt;=0,"Vincendo: VP da parcela financeira; comissão/proteção futuras isentas","")))</x:f>
        <x:v>Vincendo: VP da parcela financeira; comissão/proteção futuras isentas</x:v>
      </x:c>
    </x:row>
    <x:row r="171">
      <x:c r="A171" s="129" t="n">
        <x:f>IF(ROW()-7&lt;=Contrato!$C$16,ROW()-7,"")</x:f>
        <x:v>164</x:v>
      </x:c>
      <x:c r="B171" s="129" t="n">
        <x:f>IF(A171="","",Contrato!$C$16)</x:f>
        <x:v>209</x:v>
      </x:c>
      <x:c r="C171" s="130" t="n">
        <x:f>IF(A171="","",IF(AB171&lt;&gt;"",AB171,IF(Contrato!$C$14="Mensal",EDATE(Contrato!$C$13,A171-1),Contrato!$C$13+(A171-1)*IF(Contrato!$C$14="Quinzenal",14,IF(Contrato!$C$14="Semanal",7,1)))))</x:f>
        <x:v>47410</x:v>
      </x:c>
      <x:c r="D171" s="131" t="n">
        <x:f>IF(A171="","",W170)</x:f>
        <x:v>3321.77</x:v>
      </x:c>
      <x:c r="E171" s="131" t="n">
        <x:f>IF(A171="","",ROUND(D171*Simulador!$I$18,2))</x:f>
        <x:v>13.09</x:v>
      </x:c>
      <x:c r="F171" s="131" t="n">
        <x:f>IF(A171="","",ROUND(MIN(D171,MAX(G171-E171,0)),2))</x:f>
        <x:v>66.03</x:v>
      </x:c>
      <x:c r="G171" s="131" t="n">
        <x:f>IF(A171="","",IF(A171&lt;Contrato!$C$16,Contrato!$C$27,Contrato!$C$28))</x:f>
        <x:v>79.12</x:v>
      </x:c>
      <x:c r="H171" s="131" t="n">
        <x:f>IF(A171="","",Contrato!$C$29)</x:f>
        <x:v>199.99</x:v>
      </x:c>
      <x:c r="I171" s="131" t="n">
        <x:f>IF(A171="","",Contrato!$C$30)</x:f>
        <x:v>187.5</x:v>
      </x:c>
      <x:c r="J171" s="131" t="n">
        <x:f>IF(A171="","",Contrato!$C$31)</x:f>
        <x:v>0</x:v>
      </x:c>
      <x:c r="K171" s="131" t="n">
        <x:f>IF(A171="","",ROUND(SUM(G171:J171),2))</x:f>
        <x:v>466.61</x:v>
      </x:c>
      <x:c r="L171" s="80"/>
      <x:c r="M171" s="77"/>
      <x:c r="N171" s="29" t="str">
        <x:f>IF(A171="","",IF(L171&gt;=K171,"Paga",IF(L171&gt;0,"Paga parcialmente",IF(C171&lt;$A$5,"Vencida","Prevista"))))</x:f>
        <x:v>Prevista</x:v>
      </x:c>
      <x:c r="O171" s="29" t="n">
        <x:f>IF(A171="","",$A$5-C171)</x:f>
        <x:v>-1150</x:v>
      </x:c>
      <x:c r="P171" s="131" t="n">
        <x:f>IF(A171="","",IF(AND(O171&gt;0,MAX(K171-L171,0)&gt;0,N171&lt;&gt;"Paga"),ROUND(MAX(K171-L171,0)*'Parâmetros'!$B$34,2),0))</x:f>
        <x:v>0</x:v>
      </x:c>
      <x:c r="Q171" s="131" t="n">
        <x:f>IF(A171="","",IF(AND(O171&gt;0,MAX(K171-L171,0)&gt;0,N171&lt;&gt;"Paga"),ROUND(MAX(K171-L171,0)*'Parâmetros'!$B$35*(O171/'Parâmetros'!$B$33),2),0))</x:f>
        <x:v>0</x:v>
      </x:c>
      <x:c r="R171" s="131" t="n">
        <x:f>IF(A171="","",IF(O171&gt;0,ROUND(MAX(K171-L171,0)+P171+Q171,2),0))</x:f>
        <x:v>0</x:v>
      </x:c>
      <x:c r="S171" s="131" t="n">
        <x:f>IF(A171="","",IF(OR(N171="Paga",O171&gt;0),0,ROUND(IF(K171=0,0,G171*MAX(K171-L171,0)/K171)/(1+'Parâmetros'!$C$13)^((C171-$A$5)/30),2)))</x:f>
        <x:v>44.71</x:v>
      </x:c>
      <x:c r="T171" s="131" t="n">
        <x:f>IF(A171="","",0)</x:f>
        <x:v>0</x:v>
      </x:c>
      <x:c r="U171" s="131" t="n">
        <x:f>IF(A171="","",0)</x:f>
        <x:v>0</x:v>
      </x:c>
      <x:c r="V171" s="131" t="n">
        <x:f>IF(A171="","",IF(N171="Paga",0,IF(O171&gt;0,R171,S171)))</x:f>
        <x:v>44.71</x:v>
      </x:c>
      <x:c r="W171" s="131" t="n">
        <x:f>IF(A171="","",ROUND(MAX(D171-F171,0),2))</x:f>
        <x:v>3255.74</x:v>
      </x:c>
      <x:c r="X171" s="131" t="n">
        <x:f>IF(A171="","",ROUND(SUM($G171:$G$407),2))</x:f>
        <x:v>3638.32</x:v>
      </x:c>
      <x:c r="Y171" s="131" t="n">
        <x:f>IF(A171="","",ROUND(MAX(X171-D171,0),2))</x:f>
        <x:v>316.55</x:v>
      </x:c>
      <x:c r="Z171" s="131" t="n">
        <x:f>IF(A171="","",ROUND(SUM($V171:$V$407),2))</x:f>
        <x:v>1903.58</x:v>
      </x:c>
      <x:c r="AA171" s="131" t="n">
        <x:f>IF(A171="","",ROUND(SUM($K171:$K$407)-Z171,2))</x:f>
        <x:v>19559.28</x:v>
      </x:c>
      <x:c r="AB171" s="77"/>
      <x:c r="AC171" s="36" t="str">
        <x:f>IF(A171="","",IF(O171&gt;0,"Vencido: saldo da fatura + mora",IF(O171&lt;=0,"Vincendo: VP da parcela financeira; comissão/proteção futuras isentas","")))</x:f>
        <x:v>Vincendo: VP da parcela financeira; comissão/proteção futuras isentas</x:v>
      </x:c>
    </x:row>
    <x:row r="172">
      <x:c r="A172" s="129" t="n">
        <x:f>IF(ROW()-7&lt;=Contrato!$C$16,ROW()-7,"")</x:f>
        <x:v>165</x:v>
      </x:c>
      <x:c r="B172" s="129" t="n">
        <x:f>IF(A172="","",Contrato!$C$16)</x:f>
        <x:v>209</x:v>
      </x:c>
      <x:c r="C172" s="130" t="n">
        <x:f>IF(A172="","",IF(AB172&lt;&gt;"",AB172,IF(Contrato!$C$14="Mensal",EDATE(Contrato!$C$13,A172-1),Contrato!$C$13+(A172-1)*IF(Contrato!$C$14="Quinzenal",14,IF(Contrato!$C$14="Semanal",7,1)))))</x:f>
        <x:v>47417</x:v>
      </x:c>
      <x:c r="D172" s="131" t="n">
        <x:f>IF(A172="","",W171)</x:f>
        <x:v>3255.74</x:v>
      </x:c>
      <x:c r="E172" s="131" t="n">
        <x:f>IF(A172="","",ROUND(D172*Simulador!$I$18,2))</x:f>
        <x:v>12.83</x:v>
      </x:c>
      <x:c r="F172" s="131" t="n">
        <x:f>IF(A172="","",ROUND(MIN(D172,MAX(G172-E172,0)),2))</x:f>
        <x:v>66.29</x:v>
      </x:c>
      <x:c r="G172" s="131" t="n">
        <x:f>IF(A172="","",IF(A172&lt;Contrato!$C$16,Contrato!$C$27,Contrato!$C$28))</x:f>
        <x:v>79.12</x:v>
      </x:c>
      <x:c r="H172" s="131" t="n">
        <x:f>IF(A172="","",Contrato!$C$29)</x:f>
        <x:v>199.99</x:v>
      </x:c>
      <x:c r="I172" s="131" t="n">
        <x:f>IF(A172="","",Contrato!$C$30)</x:f>
        <x:v>187.5</x:v>
      </x:c>
      <x:c r="J172" s="131" t="n">
        <x:f>IF(A172="","",Contrato!$C$31)</x:f>
        <x:v>0</x:v>
      </x:c>
      <x:c r="K172" s="131" t="n">
        <x:f>IF(A172="","",ROUND(SUM(G172:J172),2))</x:f>
        <x:v>466.61</x:v>
      </x:c>
      <x:c r="L172" s="80"/>
      <x:c r="M172" s="77"/>
      <x:c r="N172" s="29" t="str">
        <x:f>IF(A172="","",IF(L172&gt;=K172,"Paga",IF(L172&gt;0,"Paga parcialmente",IF(C172&lt;$A$5,"Vencida","Prevista"))))</x:f>
        <x:v>Prevista</x:v>
      </x:c>
      <x:c r="O172" s="29" t="n">
        <x:f>IF(A172="","",$A$5-C172)</x:f>
        <x:v>-1157</x:v>
      </x:c>
      <x:c r="P172" s="131" t="n">
        <x:f>IF(A172="","",IF(AND(O172&gt;0,MAX(K172-L172,0)&gt;0,N172&lt;&gt;"Paga"),ROUND(MAX(K172-L172,0)*'Parâmetros'!$B$34,2),0))</x:f>
        <x:v>0</x:v>
      </x:c>
      <x:c r="Q172" s="131" t="n">
        <x:f>IF(A172="","",IF(AND(O172&gt;0,MAX(K172-L172,0)&gt;0,N172&lt;&gt;"Paga"),ROUND(MAX(K172-L172,0)*'Parâmetros'!$B$35*(O172/'Parâmetros'!$B$33),2),0))</x:f>
        <x:v>0</x:v>
      </x:c>
      <x:c r="R172" s="131" t="n">
        <x:f>IF(A172="","",IF(O172&gt;0,ROUND(MAX(K172-L172,0)+P172+Q172,2),0))</x:f>
        <x:v>0</x:v>
      </x:c>
      <x:c r="S172" s="131" t="n">
        <x:f>IF(A172="","",IF(OR(N172="Paga",O172&gt;0),0,ROUND(IF(K172=0,0,G172*MAX(K172-L172,0)/K172)/(1+'Parâmetros'!$C$13)^((C172-$A$5)/30),2)))</x:f>
        <x:v>44.56</x:v>
      </x:c>
      <x:c r="T172" s="131" t="n">
        <x:f>IF(A172="","",0)</x:f>
        <x:v>0</x:v>
      </x:c>
      <x:c r="U172" s="131" t="n">
        <x:f>IF(A172="","",0)</x:f>
        <x:v>0</x:v>
      </x:c>
      <x:c r="V172" s="131" t="n">
        <x:f>IF(A172="","",IF(N172="Paga",0,IF(O172&gt;0,R172,S172)))</x:f>
        <x:v>44.56</x:v>
      </x:c>
      <x:c r="W172" s="131" t="n">
        <x:f>IF(A172="","",ROUND(MAX(D172-F172,0),2))</x:f>
        <x:v>3189.45</x:v>
      </x:c>
      <x:c r="X172" s="131" t="n">
        <x:f>IF(A172="","",ROUND(SUM($G172:$G$407),2))</x:f>
        <x:v>3559.2</x:v>
      </x:c>
      <x:c r="Y172" s="131" t="n">
        <x:f>IF(A172="","",ROUND(MAX(X172-D172,0),2))</x:f>
        <x:v>303.46</x:v>
      </x:c>
      <x:c r="Z172" s="131" t="n">
        <x:f>IF(A172="","",ROUND(SUM($V172:$V$407),2))</x:f>
        <x:v>1858.87</x:v>
      </x:c>
      <x:c r="AA172" s="131" t="n">
        <x:f>IF(A172="","",ROUND(SUM($K172:$K$407)-Z172,2))</x:f>
        <x:v>19137.38</x:v>
      </x:c>
      <x:c r="AB172" s="77"/>
      <x:c r="AC172" s="36" t="str">
        <x:f>IF(A172="","",IF(O172&gt;0,"Vencido: saldo da fatura + mora",IF(O172&lt;=0,"Vincendo: VP da parcela financeira; comissão/proteção futuras isentas","")))</x:f>
        <x:v>Vincendo: VP da parcela financeira; comissão/proteção futuras isentas</x:v>
      </x:c>
    </x:row>
    <x:row r="173">
      <x:c r="A173" s="129" t="n">
        <x:f>IF(ROW()-7&lt;=Contrato!$C$16,ROW()-7,"")</x:f>
        <x:v>166</x:v>
      </x:c>
      <x:c r="B173" s="129" t="n">
        <x:f>IF(A173="","",Contrato!$C$16)</x:f>
        <x:v>209</x:v>
      </x:c>
      <x:c r="C173" s="130" t="n">
        <x:f>IF(A173="","",IF(AB173&lt;&gt;"",AB173,IF(Contrato!$C$14="Mensal",EDATE(Contrato!$C$13,A173-1),Contrato!$C$13+(A173-1)*IF(Contrato!$C$14="Quinzenal",14,IF(Contrato!$C$14="Semanal",7,1)))))</x:f>
        <x:v>47424</x:v>
      </x:c>
      <x:c r="D173" s="131" t="n">
        <x:f>IF(A173="","",W172)</x:f>
        <x:v>3189.45</x:v>
      </x:c>
      <x:c r="E173" s="131" t="n">
        <x:f>IF(A173="","",ROUND(D173*Simulador!$I$18,2))</x:f>
        <x:v>12.57</x:v>
      </x:c>
      <x:c r="F173" s="131" t="n">
        <x:f>IF(A173="","",ROUND(MIN(D173,MAX(G173-E173,0)),2))</x:f>
        <x:v>66.55</x:v>
      </x:c>
      <x:c r="G173" s="131" t="n">
        <x:f>IF(A173="","",IF(A173&lt;Contrato!$C$16,Contrato!$C$27,Contrato!$C$28))</x:f>
        <x:v>79.12</x:v>
      </x:c>
      <x:c r="H173" s="131" t="n">
        <x:f>IF(A173="","",Contrato!$C$29)</x:f>
        <x:v>199.99</x:v>
      </x:c>
      <x:c r="I173" s="131" t="n">
        <x:f>IF(A173="","",Contrato!$C$30)</x:f>
        <x:v>187.5</x:v>
      </x:c>
      <x:c r="J173" s="131" t="n">
        <x:f>IF(A173="","",Contrato!$C$31)</x:f>
        <x:v>0</x:v>
      </x:c>
      <x:c r="K173" s="131" t="n">
        <x:f>IF(A173="","",ROUND(SUM(G173:J173),2))</x:f>
        <x:v>466.61</x:v>
      </x:c>
      <x:c r="L173" s="80"/>
      <x:c r="M173" s="77"/>
      <x:c r="N173" s="29" t="str">
        <x:f>IF(A173="","",IF(L173&gt;=K173,"Paga",IF(L173&gt;0,"Paga parcialmente",IF(C173&lt;$A$5,"Vencida","Prevista"))))</x:f>
        <x:v>Prevista</x:v>
      </x:c>
      <x:c r="O173" s="29" t="n">
        <x:f>IF(A173="","",$A$5-C173)</x:f>
        <x:v>-1164</x:v>
      </x:c>
      <x:c r="P173" s="131" t="n">
        <x:f>IF(A173="","",IF(AND(O173&gt;0,MAX(K173-L173,0)&gt;0,N173&lt;&gt;"Paga"),ROUND(MAX(K173-L173,0)*'Parâmetros'!$B$34,2),0))</x:f>
        <x:v>0</x:v>
      </x:c>
      <x:c r="Q173" s="131" t="n">
        <x:f>IF(A173="","",IF(AND(O173&gt;0,MAX(K173-L173,0)&gt;0,N173&lt;&gt;"Paga"),ROUND(MAX(K173-L173,0)*'Parâmetros'!$B$35*(O173/'Parâmetros'!$B$33),2),0))</x:f>
        <x:v>0</x:v>
      </x:c>
      <x:c r="R173" s="131" t="n">
        <x:f>IF(A173="","",IF(O173&gt;0,ROUND(MAX(K173-L173,0)+P173+Q173,2),0))</x:f>
        <x:v>0</x:v>
      </x:c>
      <x:c r="S173" s="131" t="n">
        <x:f>IF(A173="","",IF(OR(N173="Paga",O173&gt;0),0,ROUND(IF(K173=0,0,G173*MAX(K173-L173,0)/K173)/(1+'Parâmetros'!$C$13)^((C173-$A$5)/30),2)))</x:f>
        <x:v>44.4</x:v>
      </x:c>
      <x:c r="T173" s="131" t="n">
        <x:f>IF(A173="","",0)</x:f>
        <x:v>0</x:v>
      </x:c>
      <x:c r="U173" s="131" t="n">
        <x:f>IF(A173="","",0)</x:f>
        <x:v>0</x:v>
      </x:c>
      <x:c r="V173" s="131" t="n">
        <x:f>IF(A173="","",IF(N173="Paga",0,IF(O173&gt;0,R173,S173)))</x:f>
        <x:v>44.4</x:v>
      </x:c>
      <x:c r="W173" s="131" t="n">
        <x:f>IF(A173="","",ROUND(MAX(D173-F173,0),2))</x:f>
        <x:v>3122.9</x:v>
      </x:c>
      <x:c r="X173" s="131" t="n">
        <x:f>IF(A173="","",ROUND(SUM($G173:$G$407),2))</x:f>
        <x:v>3480.08</x:v>
      </x:c>
      <x:c r="Y173" s="131" t="n">
        <x:f>IF(A173="","",ROUND(MAX(X173-D173,0),2))</x:f>
        <x:v>290.63</x:v>
      </x:c>
      <x:c r="Z173" s="131" t="n">
        <x:f>IF(A173="","",ROUND(SUM($V173:$V$407),2))</x:f>
        <x:v>1814.31</x:v>
      </x:c>
      <x:c r="AA173" s="131" t="n">
        <x:f>IF(A173="","",ROUND(SUM($K173:$K$407)-Z173,2))</x:f>
        <x:v>18715.33</x:v>
      </x:c>
      <x:c r="AB173" s="77"/>
      <x:c r="AC173" s="36" t="str">
        <x:f>IF(A173="","",IF(O173&gt;0,"Vencido: saldo da fatura + mora",IF(O173&lt;=0,"Vincendo: VP da parcela financeira; comissão/proteção futuras isentas","")))</x:f>
        <x:v>Vincendo: VP da parcela financeira; comissão/proteção futuras isentas</x:v>
      </x:c>
    </x:row>
    <x:row r="174">
      <x:c r="A174" s="129" t="n">
        <x:f>IF(ROW()-7&lt;=Contrato!$C$16,ROW()-7,"")</x:f>
        <x:v>167</x:v>
      </x:c>
      <x:c r="B174" s="129" t="n">
        <x:f>IF(A174="","",Contrato!$C$16)</x:f>
        <x:v>209</x:v>
      </x:c>
      <x:c r="C174" s="130" t="n">
        <x:f>IF(A174="","",IF(AB174&lt;&gt;"",AB174,IF(Contrato!$C$14="Mensal",EDATE(Contrato!$C$13,A174-1),Contrato!$C$13+(A174-1)*IF(Contrato!$C$14="Quinzenal",14,IF(Contrato!$C$14="Semanal",7,1)))))</x:f>
        <x:v>47431</x:v>
      </x:c>
      <x:c r="D174" s="131" t="n">
        <x:f>IF(A174="","",W173)</x:f>
        <x:v>3122.9</x:v>
      </x:c>
      <x:c r="E174" s="131" t="n">
        <x:f>IF(A174="","",ROUND(D174*Simulador!$I$18,2))</x:f>
        <x:v>12.31</x:v>
      </x:c>
      <x:c r="F174" s="131" t="n">
        <x:f>IF(A174="","",ROUND(MIN(D174,MAX(G174-E174,0)),2))</x:f>
        <x:v>66.81</x:v>
      </x:c>
      <x:c r="G174" s="131" t="n">
        <x:f>IF(A174="","",IF(A174&lt;Contrato!$C$16,Contrato!$C$27,Contrato!$C$28))</x:f>
        <x:v>79.12</x:v>
      </x:c>
      <x:c r="H174" s="131" t="n">
        <x:f>IF(A174="","",Contrato!$C$29)</x:f>
        <x:v>199.99</x:v>
      </x:c>
      <x:c r="I174" s="131" t="n">
        <x:f>IF(A174="","",Contrato!$C$30)</x:f>
        <x:v>187.5</x:v>
      </x:c>
      <x:c r="J174" s="131" t="n">
        <x:f>IF(A174="","",Contrato!$C$31)</x:f>
        <x:v>0</x:v>
      </x:c>
      <x:c r="K174" s="131" t="n">
        <x:f>IF(A174="","",ROUND(SUM(G174:J174),2))</x:f>
        <x:v>466.61</x:v>
      </x:c>
      <x:c r="L174" s="80"/>
      <x:c r="M174" s="77"/>
      <x:c r="N174" s="29" t="str">
        <x:f>IF(A174="","",IF(L174&gt;=K174,"Paga",IF(L174&gt;0,"Paga parcialmente",IF(C174&lt;$A$5,"Vencida","Prevista"))))</x:f>
        <x:v>Prevista</x:v>
      </x:c>
      <x:c r="O174" s="29" t="n">
        <x:f>IF(A174="","",$A$5-C174)</x:f>
        <x:v>-1171</x:v>
      </x:c>
      <x:c r="P174" s="131" t="n">
        <x:f>IF(A174="","",IF(AND(O174&gt;0,MAX(K174-L174,0)&gt;0,N174&lt;&gt;"Paga"),ROUND(MAX(K174-L174,0)*'Parâmetros'!$B$34,2),0))</x:f>
        <x:v>0</x:v>
      </x:c>
      <x:c r="Q174" s="131" t="n">
        <x:f>IF(A174="","",IF(AND(O174&gt;0,MAX(K174-L174,0)&gt;0,N174&lt;&gt;"Paga"),ROUND(MAX(K174-L174,0)*'Parâmetros'!$B$35*(O174/'Parâmetros'!$B$33),2),0))</x:f>
        <x:v>0</x:v>
      </x:c>
      <x:c r="R174" s="131" t="n">
        <x:f>IF(A174="","",IF(O174&gt;0,ROUND(MAX(K174-L174,0)+P174+Q174,2),0))</x:f>
        <x:v>0</x:v>
      </x:c>
      <x:c r="S174" s="131" t="n">
        <x:f>IF(A174="","",IF(OR(N174="Paga",O174&gt;0),0,ROUND(IF(K174=0,0,G174*MAX(K174-L174,0)/K174)/(1+'Parâmetros'!$C$13)^((C174-$A$5)/30),2)))</x:f>
        <x:v>44.25</x:v>
      </x:c>
      <x:c r="T174" s="131" t="n">
        <x:f>IF(A174="","",0)</x:f>
        <x:v>0</x:v>
      </x:c>
      <x:c r="U174" s="131" t="n">
        <x:f>IF(A174="","",0)</x:f>
        <x:v>0</x:v>
      </x:c>
      <x:c r="V174" s="131" t="n">
        <x:f>IF(A174="","",IF(N174="Paga",0,IF(O174&gt;0,R174,S174)))</x:f>
        <x:v>44.25</x:v>
      </x:c>
      <x:c r="W174" s="131" t="n">
        <x:f>IF(A174="","",ROUND(MAX(D174-F174,0),2))</x:f>
        <x:v>3056.09</x:v>
      </x:c>
      <x:c r="X174" s="131" t="n">
        <x:f>IF(A174="","",ROUND(SUM($G174:$G$407),2))</x:f>
        <x:v>3400.96</x:v>
      </x:c>
      <x:c r="Y174" s="131" t="n">
        <x:f>IF(A174="","",ROUND(MAX(X174-D174,0),2))</x:f>
        <x:v>278.06</x:v>
      </x:c>
      <x:c r="Z174" s="131" t="n">
        <x:f>IF(A174="","",ROUND(SUM($V174:$V$407),2))</x:f>
        <x:v>1769.91</x:v>
      </x:c>
      <x:c r="AA174" s="131" t="n">
        <x:f>IF(A174="","",ROUND(SUM($K174:$K$407)-Z174,2))</x:f>
        <x:v>18293.12</x:v>
      </x:c>
      <x:c r="AB174" s="77"/>
      <x:c r="AC174" s="36" t="str">
        <x:f>IF(A174="","",IF(O174&gt;0,"Vencido: saldo da fatura + mora",IF(O174&lt;=0,"Vincendo: VP da parcela financeira; comissão/proteção futuras isentas","")))</x:f>
        <x:v>Vincendo: VP da parcela financeira; comissão/proteção futuras isentas</x:v>
      </x:c>
    </x:row>
    <x:row r="175">
      <x:c r="A175" s="129" t="n">
        <x:f>IF(ROW()-7&lt;=Contrato!$C$16,ROW()-7,"")</x:f>
        <x:v>168</x:v>
      </x:c>
      <x:c r="B175" s="129" t="n">
        <x:f>IF(A175="","",Contrato!$C$16)</x:f>
        <x:v>209</x:v>
      </x:c>
      <x:c r="C175" s="130" t="n">
        <x:f>IF(A175="","",IF(AB175&lt;&gt;"",AB175,IF(Contrato!$C$14="Mensal",EDATE(Contrato!$C$13,A175-1),Contrato!$C$13+(A175-1)*IF(Contrato!$C$14="Quinzenal",14,IF(Contrato!$C$14="Semanal",7,1)))))</x:f>
        <x:v>47438</x:v>
      </x:c>
      <x:c r="D175" s="131" t="n">
        <x:f>IF(A175="","",W174)</x:f>
        <x:v>3056.09</x:v>
      </x:c>
      <x:c r="E175" s="131" t="n">
        <x:f>IF(A175="","",ROUND(D175*Simulador!$I$18,2))</x:f>
        <x:v>12.04</x:v>
      </x:c>
      <x:c r="F175" s="131" t="n">
        <x:f>IF(A175="","",ROUND(MIN(D175,MAX(G175-E175,0)),2))</x:f>
        <x:v>67.08</x:v>
      </x:c>
      <x:c r="G175" s="131" t="n">
        <x:f>IF(A175="","",IF(A175&lt;Contrato!$C$16,Contrato!$C$27,Contrato!$C$28))</x:f>
        <x:v>79.12</x:v>
      </x:c>
      <x:c r="H175" s="131" t="n">
        <x:f>IF(A175="","",Contrato!$C$29)</x:f>
        <x:v>199.99</x:v>
      </x:c>
      <x:c r="I175" s="131" t="n">
        <x:f>IF(A175="","",Contrato!$C$30)</x:f>
        <x:v>187.5</x:v>
      </x:c>
      <x:c r="J175" s="131" t="n">
        <x:f>IF(A175="","",Contrato!$C$31)</x:f>
        <x:v>0</x:v>
      </x:c>
      <x:c r="K175" s="131" t="n">
        <x:f>IF(A175="","",ROUND(SUM(G175:J175),2))</x:f>
        <x:v>466.61</x:v>
      </x:c>
      <x:c r="L175" s="80"/>
      <x:c r="M175" s="77"/>
      <x:c r="N175" s="29" t="str">
        <x:f>IF(A175="","",IF(L175&gt;=K175,"Paga",IF(L175&gt;0,"Paga parcialmente",IF(C175&lt;$A$5,"Vencida","Prevista"))))</x:f>
        <x:v>Prevista</x:v>
      </x:c>
      <x:c r="O175" s="29" t="n">
        <x:f>IF(A175="","",$A$5-C175)</x:f>
        <x:v>-1178</x:v>
      </x:c>
      <x:c r="P175" s="131" t="n">
        <x:f>IF(A175="","",IF(AND(O175&gt;0,MAX(K175-L175,0)&gt;0,N175&lt;&gt;"Paga"),ROUND(MAX(K175-L175,0)*'Parâmetros'!$B$34,2),0))</x:f>
        <x:v>0</x:v>
      </x:c>
      <x:c r="Q175" s="131" t="n">
        <x:f>IF(A175="","",IF(AND(O175&gt;0,MAX(K175-L175,0)&gt;0,N175&lt;&gt;"Paga"),ROUND(MAX(K175-L175,0)*'Parâmetros'!$B$35*(O175/'Parâmetros'!$B$33),2),0))</x:f>
        <x:v>0</x:v>
      </x:c>
      <x:c r="R175" s="131" t="n">
        <x:f>IF(A175="","",IF(O175&gt;0,ROUND(MAX(K175-L175,0)+P175+Q175,2),0))</x:f>
        <x:v>0</x:v>
      </x:c>
      <x:c r="S175" s="131" t="n">
        <x:f>IF(A175="","",IF(OR(N175="Paga",O175&gt;0),0,ROUND(IF(K175=0,0,G175*MAX(K175-L175,0)/K175)/(1+'Parâmetros'!$C$13)^((C175-$A$5)/30),2)))</x:f>
        <x:v>44.09</x:v>
      </x:c>
      <x:c r="T175" s="131" t="n">
        <x:f>IF(A175="","",0)</x:f>
        <x:v>0</x:v>
      </x:c>
      <x:c r="U175" s="131" t="n">
        <x:f>IF(A175="","",0)</x:f>
        <x:v>0</x:v>
      </x:c>
      <x:c r="V175" s="131" t="n">
        <x:f>IF(A175="","",IF(N175="Paga",0,IF(O175&gt;0,R175,S175)))</x:f>
        <x:v>44.09</x:v>
      </x:c>
      <x:c r="W175" s="131" t="n">
        <x:f>IF(A175="","",ROUND(MAX(D175-F175,0),2))</x:f>
        <x:v>2989.01</x:v>
      </x:c>
      <x:c r="X175" s="131" t="n">
        <x:f>IF(A175="","",ROUND(SUM($G175:$G$407),2))</x:f>
        <x:v>3321.84</x:v>
      </x:c>
      <x:c r="Y175" s="131" t="n">
        <x:f>IF(A175="","",ROUND(MAX(X175-D175,0),2))</x:f>
        <x:v>265.75</x:v>
      </x:c>
      <x:c r="Z175" s="131" t="n">
        <x:f>IF(A175="","",ROUND(SUM($V175:$V$407),2))</x:f>
        <x:v>1725.66</x:v>
      </x:c>
      <x:c r="AA175" s="131" t="n">
        <x:f>IF(A175="","",ROUND(SUM($K175:$K$407)-Z175,2))</x:f>
        <x:v>17870.76</x:v>
      </x:c>
      <x:c r="AB175" s="77"/>
      <x:c r="AC175" s="36" t="str">
        <x:f>IF(A175="","",IF(O175&gt;0,"Vencido: saldo da fatura + mora",IF(O175&lt;=0,"Vincendo: VP da parcela financeira; comissão/proteção futuras isentas","")))</x:f>
        <x:v>Vincendo: VP da parcela financeira; comissão/proteção futuras isentas</x:v>
      </x:c>
    </x:row>
    <x:row r="176">
      <x:c r="A176" s="129" t="n">
        <x:f>IF(ROW()-7&lt;=Contrato!$C$16,ROW()-7,"")</x:f>
        <x:v>169</x:v>
      </x:c>
      <x:c r="B176" s="129" t="n">
        <x:f>IF(A176="","",Contrato!$C$16)</x:f>
        <x:v>209</x:v>
      </x:c>
      <x:c r="C176" s="130" t="n">
        <x:f>IF(A176="","",IF(AB176&lt;&gt;"",AB176,IF(Contrato!$C$14="Mensal",EDATE(Contrato!$C$13,A176-1),Contrato!$C$13+(A176-1)*IF(Contrato!$C$14="Quinzenal",14,IF(Contrato!$C$14="Semanal",7,1)))))</x:f>
        <x:v>47445</x:v>
      </x:c>
      <x:c r="D176" s="131" t="n">
        <x:f>IF(A176="","",W175)</x:f>
        <x:v>2989.01</x:v>
      </x:c>
      <x:c r="E176" s="131" t="n">
        <x:f>IF(A176="","",ROUND(D176*Simulador!$I$18,2))</x:f>
        <x:v>11.78</x:v>
      </x:c>
      <x:c r="F176" s="131" t="n">
        <x:f>IF(A176="","",ROUND(MIN(D176,MAX(G176-E176,0)),2))</x:f>
        <x:v>67.34</x:v>
      </x:c>
      <x:c r="G176" s="131" t="n">
        <x:f>IF(A176="","",IF(A176&lt;Contrato!$C$16,Contrato!$C$27,Contrato!$C$28))</x:f>
        <x:v>79.12</x:v>
      </x:c>
      <x:c r="H176" s="131" t="n">
        <x:f>IF(A176="","",Contrato!$C$29)</x:f>
        <x:v>199.99</x:v>
      </x:c>
      <x:c r="I176" s="131" t="n">
        <x:f>IF(A176="","",Contrato!$C$30)</x:f>
        <x:v>187.5</x:v>
      </x:c>
      <x:c r="J176" s="131" t="n">
        <x:f>IF(A176="","",Contrato!$C$31)</x:f>
        <x:v>0</x:v>
      </x:c>
      <x:c r="K176" s="131" t="n">
        <x:f>IF(A176="","",ROUND(SUM(G176:J176),2))</x:f>
        <x:v>466.61</x:v>
      </x:c>
      <x:c r="L176" s="80"/>
      <x:c r="M176" s="77"/>
      <x:c r="N176" s="29" t="str">
        <x:f>IF(A176="","",IF(L176&gt;=K176,"Paga",IF(L176&gt;0,"Paga parcialmente",IF(C176&lt;$A$5,"Vencida","Prevista"))))</x:f>
        <x:v>Prevista</x:v>
      </x:c>
      <x:c r="O176" s="29" t="n">
        <x:f>IF(A176="","",$A$5-C176)</x:f>
        <x:v>-1185</x:v>
      </x:c>
      <x:c r="P176" s="131" t="n">
        <x:f>IF(A176="","",IF(AND(O176&gt;0,MAX(K176-L176,0)&gt;0,N176&lt;&gt;"Paga"),ROUND(MAX(K176-L176,0)*'Parâmetros'!$B$34,2),0))</x:f>
        <x:v>0</x:v>
      </x:c>
      <x:c r="Q176" s="131" t="n">
        <x:f>IF(A176="","",IF(AND(O176&gt;0,MAX(K176-L176,0)&gt;0,N176&lt;&gt;"Paga"),ROUND(MAX(K176-L176,0)*'Parâmetros'!$B$35*(O176/'Parâmetros'!$B$33),2),0))</x:f>
        <x:v>0</x:v>
      </x:c>
      <x:c r="R176" s="131" t="n">
        <x:f>IF(A176="","",IF(O176&gt;0,ROUND(MAX(K176-L176,0)+P176+Q176,2),0))</x:f>
        <x:v>0</x:v>
      </x:c>
      <x:c r="S176" s="131" t="n">
        <x:f>IF(A176="","",IF(OR(N176="Paga",O176&gt;0),0,ROUND(IF(K176=0,0,G176*MAX(K176-L176,0)/K176)/(1+'Parâmetros'!$C$13)^((C176-$A$5)/30),2)))</x:f>
        <x:v>43.94</x:v>
      </x:c>
      <x:c r="T176" s="131" t="n">
        <x:f>IF(A176="","",0)</x:f>
        <x:v>0</x:v>
      </x:c>
      <x:c r="U176" s="131" t="n">
        <x:f>IF(A176="","",0)</x:f>
        <x:v>0</x:v>
      </x:c>
      <x:c r="V176" s="131" t="n">
        <x:f>IF(A176="","",IF(N176="Paga",0,IF(O176&gt;0,R176,S176)))</x:f>
        <x:v>43.94</x:v>
      </x:c>
      <x:c r="W176" s="131" t="n">
        <x:f>IF(A176="","",ROUND(MAX(D176-F176,0),2))</x:f>
        <x:v>2921.67</x:v>
      </x:c>
      <x:c r="X176" s="131" t="n">
        <x:f>IF(A176="","",ROUND(SUM($G176:$G$407),2))</x:f>
        <x:v>3242.72</x:v>
      </x:c>
      <x:c r="Y176" s="131" t="n">
        <x:f>IF(A176="","",ROUND(MAX(X176-D176,0),2))</x:f>
        <x:v>253.71</x:v>
      </x:c>
      <x:c r="Z176" s="131" t="n">
        <x:f>IF(A176="","",ROUND(SUM($V176:$V$407),2))</x:f>
        <x:v>1681.57</x:v>
      </x:c>
      <x:c r="AA176" s="131" t="n">
        <x:f>IF(A176="","",ROUND(SUM($K176:$K$407)-Z176,2))</x:f>
        <x:v>17448.24</x:v>
      </x:c>
      <x:c r="AB176" s="77"/>
      <x:c r="AC176" s="36" t="str">
        <x:f>IF(A176="","",IF(O176&gt;0,"Vencido: saldo da fatura + mora",IF(O176&lt;=0,"Vincendo: VP da parcela financeira; comissão/proteção futuras isentas","")))</x:f>
        <x:v>Vincendo: VP da parcela financeira; comissão/proteção futuras isentas</x:v>
      </x:c>
    </x:row>
    <x:row r="177">
      <x:c r="A177" s="129" t="n">
        <x:f>IF(ROW()-7&lt;=Contrato!$C$16,ROW()-7,"")</x:f>
        <x:v>170</x:v>
      </x:c>
      <x:c r="B177" s="129" t="n">
        <x:f>IF(A177="","",Contrato!$C$16)</x:f>
        <x:v>209</x:v>
      </x:c>
      <x:c r="C177" s="130" t="n">
        <x:f>IF(A177="","",IF(AB177&lt;&gt;"",AB177,IF(Contrato!$C$14="Mensal",EDATE(Contrato!$C$13,A177-1),Contrato!$C$13+(A177-1)*IF(Contrato!$C$14="Quinzenal",14,IF(Contrato!$C$14="Semanal",7,1)))))</x:f>
        <x:v>47452</x:v>
      </x:c>
      <x:c r="D177" s="131" t="n">
        <x:f>IF(A177="","",W176)</x:f>
        <x:v>2921.67</x:v>
      </x:c>
      <x:c r="E177" s="131" t="n">
        <x:f>IF(A177="","",ROUND(D177*Simulador!$I$18,2))</x:f>
        <x:v>11.51</x:v>
      </x:c>
      <x:c r="F177" s="131" t="n">
        <x:f>IF(A177="","",ROUND(MIN(D177,MAX(G177-E177,0)),2))</x:f>
        <x:v>67.61</x:v>
      </x:c>
      <x:c r="G177" s="131" t="n">
        <x:f>IF(A177="","",IF(A177&lt;Contrato!$C$16,Contrato!$C$27,Contrato!$C$28))</x:f>
        <x:v>79.12</x:v>
      </x:c>
      <x:c r="H177" s="131" t="n">
        <x:f>IF(A177="","",Contrato!$C$29)</x:f>
        <x:v>199.99</x:v>
      </x:c>
      <x:c r="I177" s="131" t="n">
        <x:f>IF(A177="","",Contrato!$C$30)</x:f>
        <x:v>187.5</x:v>
      </x:c>
      <x:c r="J177" s="131" t="n">
        <x:f>IF(A177="","",Contrato!$C$31)</x:f>
        <x:v>0</x:v>
      </x:c>
      <x:c r="K177" s="131" t="n">
        <x:f>IF(A177="","",ROUND(SUM(G177:J177),2))</x:f>
        <x:v>466.61</x:v>
      </x:c>
      <x:c r="L177" s="80"/>
      <x:c r="M177" s="77"/>
      <x:c r="N177" s="29" t="str">
        <x:f>IF(A177="","",IF(L177&gt;=K177,"Paga",IF(L177&gt;0,"Paga parcialmente",IF(C177&lt;$A$5,"Vencida","Prevista"))))</x:f>
        <x:v>Prevista</x:v>
      </x:c>
      <x:c r="O177" s="29" t="n">
        <x:f>IF(A177="","",$A$5-C177)</x:f>
        <x:v>-1192</x:v>
      </x:c>
      <x:c r="P177" s="131" t="n">
        <x:f>IF(A177="","",IF(AND(O177&gt;0,MAX(K177-L177,0)&gt;0,N177&lt;&gt;"Paga"),ROUND(MAX(K177-L177,0)*'Parâmetros'!$B$34,2),0))</x:f>
        <x:v>0</x:v>
      </x:c>
      <x:c r="Q177" s="131" t="n">
        <x:f>IF(A177="","",IF(AND(O177&gt;0,MAX(K177-L177,0)&gt;0,N177&lt;&gt;"Paga"),ROUND(MAX(K177-L177,0)*'Parâmetros'!$B$35*(O177/'Parâmetros'!$B$33),2),0))</x:f>
        <x:v>0</x:v>
      </x:c>
      <x:c r="R177" s="131" t="n">
        <x:f>IF(A177="","",IF(O177&gt;0,ROUND(MAX(K177-L177,0)+P177+Q177,2),0))</x:f>
        <x:v>0</x:v>
      </x:c>
      <x:c r="S177" s="131" t="n">
        <x:f>IF(A177="","",IF(OR(N177="Paga",O177&gt;0),0,ROUND(IF(K177=0,0,G177*MAX(K177-L177,0)/K177)/(1+'Parâmetros'!$C$13)^((C177-$A$5)/30),2)))</x:f>
        <x:v>43.79</x:v>
      </x:c>
      <x:c r="T177" s="131" t="n">
        <x:f>IF(A177="","",0)</x:f>
        <x:v>0</x:v>
      </x:c>
      <x:c r="U177" s="131" t="n">
        <x:f>IF(A177="","",0)</x:f>
        <x:v>0</x:v>
      </x:c>
      <x:c r="V177" s="131" t="n">
        <x:f>IF(A177="","",IF(N177="Paga",0,IF(O177&gt;0,R177,S177)))</x:f>
        <x:v>43.79</x:v>
      </x:c>
      <x:c r="W177" s="131" t="n">
        <x:f>IF(A177="","",ROUND(MAX(D177-F177,0),2))</x:f>
        <x:v>2854.06</x:v>
      </x:c>
      <x:c r="X177" s="131" t="n">
        <x:f>IF(A177="","",ROUND(SUM($G177:$G$407),2))</x:f>
        <x:v>3163.6</x:v>
      </x:c>
      <x:c r="Y177" s="131" t="n">
        <x:f>IF(A177="","",ROUND(MAX(X177-D177,0),2))</x:f>
        <x:v>241.93</x:v>
      </x:c>
      <x:c r="Z177" s="131" t="n">
        <x:f>IF(A177="","",ROUND(SUM($V177:$V$407),2))</x:f>
        <x:v>1637.63</x:v>
      </x:c>
      <x:c r="AA177" s="131" t="n">
        <x:f>IF(A177="","",ROUND(SUM($K177:$K$407)-Z177,2))</x:f>
        <x:v>17025.57</x:v>
      </x:c>
      <x:c r="AB177" s="77"/>
      <x:c r="AC177" s="36" t="str">
        <x:f>IF(A177="","",IF(O177&gt;0,"Vencido: saldo da fatura + mora",IF(O177&lt;=0,"Vincendo: VP da parcela financeira; comissão/proteção futuras isentas","")))</x:f>
        <x:v>Vincendo: VP da parcela financeira; comissão/proteção futuras isentas</x:v>
      </x:c>
    </x:row>
    <x:row r="178">
      <x:c r="A178" s="129" t="n">
        <x:f>IF(ROW()-7&lt;=Contrato!$C$16,ROW()-7,"")</x:f>
        <x:v>171</x:v>
      </x:c>
      <x:c r="B178" s="129" t="n">
        <x:f>IF(A178="","",Contrato!$C$16)</x:f>
        <x:v>209</x:v>
      </x:c>
      <x:c r="C178" s="130" t="n">
        <x:f>IF(A178="","",IF(AB178&lt;&gt;"",AB178,IF(Contrato!$C$14="Mensal",EDATE(Contrato!$C$13,A178-1),Contrato!$C$13+(A178-1)*IF(Contrato!$C$14="Quinzenal",14,IF(Contrato!$C$14="Semanal",7,1)))))</x:f>
        <x:v>47459</x:v>
      </x:c>
      <x:c r="D178" s="131" t="n">
        <x:f>IF(A178="","",W177)</x:f>
        <x:v>2854.06</x:v>
      </x:c>
      <x:c r="E178" s="131" t="n">
        <x:f>IF(A178="","",ROUND(D178*Simulador!$I$18,2))</x:f>
        <x:v>11.25</x:v>
      </x:c>
      <x:c r="F178" s="131" t="n">
        <x:f>IF(A178="","",ROUND(MIN(D178,MAX(G178-E178,0)),2))</x:f>
        <x:v>67.87</x:v>
      </x:c>
      <x:c r="G178" s="131" t="n">
        <x:f>IF(A178="","",IF(A178&lt;Contrato!$C$16,Contrato!$C$27,Contrato!$C$28))</x:f>
        <x:v>79.12</x:v>
      </x:c>
      <x:c r="H178" s="131" t="n">
        <x:f>IF(A178="","",Contrato!$C$29)</x:f>
        <x:v>199.99</x:v>
      </x:c>
      <x:c r="I178" s="131" t="n">
        <x:f>IF(A178="","",Contrato!$C$30)</x:f>
        <x:v>187.5</x:v>
      </x:c>
      <x:c r="J178" s="131" t="n">
        <x:f>IF(A178="","",Contrato!$C$31)</x:f>
        <x:v>0</x:v>
      </x:c>
      <x:c r="K178" s="131" t="n">
        <x:f>IF(A178="","",ROUND(SUM(G178:J178),2))</x:f>
        <x:v>466.61</x:v>
      </x:c>
      <x:c r="L178" s="80"/>
      <x:c r="M178" s="77"/>
      <x:c r="N178" s="29" t="str">
        <x:f>IF(A178="","",IF(L178&gt;=K178,"Paga",IF(L178&gt;0,"Paga parcialmente",IF(C178&lt;$A$5,"Vencida","Prevista"))))</x:f>
        <x:v>Prevista</x:v>
      </x:c>
      <x:c r="O178" s="29" t="n">
        <x:f>IF(A178="","",$A$5-C178)</x:f>
        <x:v>-1199</x:v>
      </x:c>
      <x:c r="P178" s="131" t="n">
        <x:f>IF(A178="","",IF(AND(O178&gt;0,MAX(K178-L178,0)&gt;0,N178&lt;&gt;"Paga"),ROUND(MAX(K178-L178,0)*'Parâmetros'!$B$34,2),0))</x:f>
        <x:v>0</x:v>
      </x:c>
      <x:c r="Q178" s="131" t="n">
        <x:f>IF(A178="","",IF(AND(O178&gt;0,MAX(K178-L178,0)&gt;0,N178&lt;&gt;"Paga"),ROUND(MAX(K178-L178,0)*'Parâmetros'!$B$35*(O178/'Parâmetros'!$B$33),2),0))</x:f>
        <x:v>0</x:v>
      </x:c>
      <x:c r="R178" s="131" t="n">
        <x:f>IF(A178="","",IF(O178&gt;0,ROUND(MAX(K178-L178,0)+P178+Q178,2),0))</x:f>
        <x:v>0</x:v>
      </x:c>
      <x:c r="S178" s="131" t="n">
        <x:f>IF(A178="","",IF(OR(N178="Paga",O178&gt;0),0,ROUND(IF(K178=0,0,G178*MAX(K178-L178,0)/K178)/(1+'Parâmetros'!$C$13)^((C178-$A$5)/30),2)))</x:f>
        <x:v>43.64</x:v>
      </x:c>
      <x:c r="T178" s="131" t="n">
        <x:f>IF(A178="","",0)</x:f>
        <x:v>0</x:v>
      </x:c>
      <x:c r="U178" s="131" t="n">
        <x:f>IF(A178="","",0)</x:f>
        <x:v>0</x:v>
      </x:c>
      <x:c r="V178" s="131" t="n">
        <x:f>IF(A178="","",IF(N178="Paga",0,IF(O178&gt;0,R178,S178)))</x:f>
        <x:v>43.64</x:v>
      </x:c>
      <x:c r="W178" s="131" t="n">
        <x:f>IF(A178="","",ROUND(MAX(D178-F178,0),2))</x:f>
        <x:v>2786.19</x:v>
      </x:c>
      <x:c r="X178" s="131" t="n">
        <x:f>IF(A178="","",ROUND(SUM($G178:$G$407),2))</x:f>
        <x:v>3084.48</x:v>
      </x:c>
      <x:c r="Y178" s="131" t="n">
        <x:f>IF(A178="","",ROUND(MAX(X178-D178,0),2))</x:f>
        <x:v>230.42</x:v>
      </x:c>
      <x:c r="Z178" s="131" t="n">
        <x:f>IF(A178="","",ROUND(SUM($V178:$V$407),2))</x:f>
        <x:v>1593.84</x:v>
      </x:c>
      <x:c r="AA178" s="131" t="n">
        <x:f>IF(A178="","",ROUND(SUM($K178:$K$407)-Z178,2))</x:f>
        <x:v>16602.75</x:v>
      </x:c>
      <x:c r="AB178" s="77"/>
      <x:c r="AC178" s="36" t="str">
        <x:f>IF(A178="","",IF(O178&gt;0,"Vencido: saldo da fatura + mora",IF(O178&lt;=0,"Vincendo: VP da parcela financeira; comissão/proteção futuras isentas","")))</x:f>
        <x:v>Vincendo: VP da parcela financeira; comissão/proteção futuras isentas</x:v>
      </x:c>
    </x:row>
    <x:row r="179">
      <x:c r="A179" s="129" t="n">
        <x:f>IF(ROW()-7&lt;=Contrato!$C$16,ROW()-7,"")</x:f>
        <x:v>172</x:v>
      </x:c>
      <x:c r="B179" s="129" t="n">
        <x:f>IF(A179="","",Contrato!$C$16)</x:f>
        <x:v>209</x:v>
      </x:c>
      <x:c r="C179" s="130" t="n">
        <x:f>IF(A179="","",IF(AB179&lt;&gt;"",AB179,IF(Contrato!$C$14="Mensal",EDATE(Contrato!$C$13,A179-1),Contrato!$C$13+(A179-1)*IF(Contrato!$C$14="Quinzenal",14,IF(Contrato!$C$14="Semanal",7,1)))))</x:f>
        <x:v>47466</x:v>
      </x:c>
      <x:c r="D179" s="131" t="n">
        <x:f>IF(A179="","",W178)</x:f>
        <x:v>2786.19</x:v>
      </x:c>
      <x:c r="E179" s="131" t="n">
        <x:f>IF(A179="","",ROUND(D179*Simulador!$I$18,2))</x:f>
        <x:v>10.98</x:v>
      </x:c>
      <x:c r="F179" s="131" t="n">
        <x:f>IF(A179="","",ROUND(MIN(D179,MAX(G179-E179,0)),2))</x:f>
        <x:v>68.14</x:v>
      </x:c>
      <x:c r="G179" s="131" t="n">
        <x:f>IF(A179="","",IF(A179&lt;Contrato!$C$16,Contrato!$C$27,Contrato!$C$28))</x:f>
        <x:v>79.12</x:v>
      </x:c>
      <x:c r="H179" s="131" t="n">
        <x:f>IF(A179="","",Contrato!$C$29)</x:f>
        <x:v>199.99</x:v>
      </x:c>
      <x:c r="I179" s="131" t="n">
        <x:f>IF(A179="","",Contrato!$C$30)</x:f>
        <x:v>187.5</x:v>
      </x:c>
      <x:c r="J179" s="131" t="n">
        <x:f>IF(A179="","",Contrato!$C$31)</x:f>
        <x:v>0</x:v>
      </x:c>
      <x:c r="K179" s="131" t="n">
        <x:f>IF(A179="","",ROUND(SUM(G179:J179),2))</x:f>
        <x:v>466.61</x:v>
      </x:c>
      <x:c r="L179" s="80"/>
      <x:c r="M179" s="77"/>
      <x:c r="N179" s="29" t="str">
        <x:f>IF(A179="","",IF(L179&gt;=K179,"Paga",IF(L179&gt;0,"Paga parcialmente",IF(C179&lt;$A$5,"Vencida","Prevista"))))</x:f>
        <x:v>Prevista</x:v>
      </x:c>
      <x:c r="O179" s="29" t="n">
        <x:f>IF(A179="","",$A$5-C179)</x:f>
        <x:v>-1206</x:v>
      </x:c>
      <x:c r="P179" s="131" t="n">
        <x:f>IF(A179="","",IF(AND(O179&gt;0,MAX(K179-L179,0)&gt;0,N179&lt;&gt;"Paga"),ROUND(MAX(K179-L179,0)*'Parâmetros'!$B$34,2),0))</x:f>
        <x:v>0</x:v>
      </x:c>
      <x:c r="Q179" s="131" t="n">
        <x:f>IF(A179="","",IF(AND(O179&gt;0,MAX(K179-L179,0)&gt;0,N179&lt;&gt;"Paga"),ROUND(MAX(K179-L179,0)*'Parâmetros'!$B$35*(O179/'Parâmetros'!$B$33),2),0))</x:f>
        <x:v>0</x:v>
      </x:c>
      <x:c r="R179" s="131" t="n">
        <x:f>IF(A179="","",IF(O179&gt;0,ROUND(MAX(K179-L179,0)+P179+Q179,2),0))</x:f>
        <x:v>0</x:v>
      </x:c>
      <x:c r="S179" s="131" t="n">
        <x:f>IF(A179="","",IF(OR(N179="Paga",O179&gt;0),0,ROUND(IF(K179=0,0,G179*MAX(K179-L179,0)/K179)/(1+'Parâmetros'!$C$13)^((C179-$A$5)/30),2)))</x:f>
        <x:v>43.49</x:v>
      </x:c>
      <x:c r="T179" s="131" t="n">
        <x:f>IF(A179="","",0)</x:f>
        <x:v>0</x:v>
      </x:c>
      <x:c r="U179" s="131" t="n">
        <x:f>IF(A179="","",0)</x:f>
        <x:v>0</x:v>
      </x:c>
      <x:c r="V179" s="131" t="n">
        <x:f>IF(A179="","",IF(N179="Paga",0,IF(O179&gt;0,R179,S179)))</x:f>
        <x:v>43.49</x:v>
      </x:c>
      <x:c r="W179" s="131" t="n">
        <x:f>IF(A179="","",ROUND(MAX(D179-F179,0),2))</x:f>
        <x:v>2718.05</x:v>
      </x:c>
      <x:c r="X179" s="131" t="n">
        <x:f>IF(A179="","",ROUND(SUM($G179:$G$407),2))</x:f>
        <x:v>3005.36</x:v>
      </x:c>
      <x:c r="Y179" s="131" t="n">
        <x:f>IF(A179="","",ROUND(MAX(X179-D179,0),2))</x:f>
        <x:v>219.17</x:v>
      </x:c>
      <x:c r="Z179" s="131" t="n">
        <x:f>IF(A179="","",ROUND(SUM($V179:$V$407),2))</x:f>
        <x:v>1550.2</x:v>
      </x:c>
      <x:c r="AA179" s="131" t="n">
        <x:f>IF(A179="","",ROUND(SUM($K179:$K$407)-Z179,2))</x:f>
        <x:v>16179.78</x:v>
      </x:c>
      <x:c r="AB179" s="77"/>
      <x:c r="AC179" s="36" t="str">
        <x:f>IF(A179="","",IF(O179&gt;0,"Vencido: saldo da fatura + mora",IF(O179&lt;=0,"Vincendo: VP da parcela financeira; comissão/proteção futuras isentas","")))</x:f>
        <x:v>Vincendo: VP da parcela financeira; comissão/proteção futuras isentas</x:v>
      </x:c>
    </x:row>
    <x:row r="180">
      <x:c r="A180" s="129" t="n">
        <x:f>IF(ROW()-7&lt;=Contrato!$C$16,ROW()-7,"")</x:f>
        <x:v>173</x:v>
      </x:c>
      <x:c r="B180" s="129" t="n">
        <x:f>IF(A180="","",Contrato!$C$16)</x:f>
        <x:v>209</x:v>
      </x:c>
      <x:c r="C180" s="130" t="n">
        <x:f>IF(A180="","",IF(AB180&lt;&gt;"",AB180,IF(Contrato!$C$14="Mensal",EDATE(Contrato!$C$13,A180-1),Contrato!$C$13+(A180-1)*IF(Contrato!$C$14="Quinzenal",14,IF(Contrato!$C$14="Semanal",7,1)))))</x:f>
        <x:v>47473</x:v>
      </x:c>
      <x:c r="D180" s="131" t="n">
        <x:f>IF(A180="","",W179)</x:f>
        <x:v>2718.05</x:v>
      </x:c>
      <x:c r="E180" s="131" t="n">
        <x:f>IF(A180="","",ROUND(D180*Simulador!$I$18,2))</x:f>
        <x:v>10.71</x:v>
      </x:c>
      <x:c r="F180" s="131" t="n">
        <x:f>IF(A180="","",ROUND(MIN(D180,MAX(G180-E180,0)),2))</x:f>
        <x:v>68.41</x:v>
      </x:c>
      <x:c r="G180" s="131" t="n">
        <x:f>IF(A180="","",IF(A180&lt;Contrato!$C$16,Contrato!$C$27,Contrato!$C$28))</x:f>
        <x:v>79.12</x:v>
      </x:c>
      <x:c r="H180" s="131" t="n">
        <x:f>IF(A180="","",Contrato!$C$29)</x:f>
        <x:v>199.99</x:v>
      </x:c>
      <x:c r="I180" s="131" t="n">
        <x:f>IF(A180="","",Contrato!$C$30)</x:f>
        <x:v>187.5</x:v>
      </x:c>
      <x:c r="J180" s="131" t="n">
        <x:f>IF(A180="","",Contrato!$C$31)</x:f>
        <x:v>0</x:v>
      </x:c>
      <x:c r="K180" s="131" t="n">
        <x:f>IF(A180="","",ROUND(SUM(G180:J180),2))</x:f>
        <x:v>466.61</x:v>
      </x:c>
      <x:c r="L180" s="80"/>
      <x:c r="M180" s="77"/>
      <x:c r="N180" s="29" t="str">
        <x:f>IF(A180="","",IF(L180&gt;=K180,"Paga",IF(L180&gt;0,"Paga parcialmente",IF(C180&lt;$A$5,"Vencida","Prevista"))))</x:f>
        <x:v>Prevista</x:v>
      </x:c>
      <x:c r="O180" s="29" t="n">
        <x:f>IF(A180="","",$A$5-C180)</x:f>
        <x:v>-1213</x:v>
      </x:c>
      <x:c r="P180" s="131" t="n">
        <x:f>IF(A180="","",IF(AND(O180&gt;0,MAX(K180-L180,0)&gt;0,N180&lt;&gt;"Paga"),ROUND(MAX(K180-L180,0)*'Parâmetros'!$B$34,2),0))</x:f>
        <x:v>0</x:v>
      </x:c>
      <x:c r="Q180" s="131" t="n">
        <x:f>IF(A180="","",IF(AND(O180&gt;0,MAX(K180-L180,0)&gt;0,N180&lt;&gt;"Paga"),ROUND(MAX(K180-L180,0)*'Parâmetros'!$B$35*(O180/'Parâmetros'!$B$33),2),0))</x:f>
        <x:v>0</x:v>
      </x:c>
      <x:c r="R180" s="131" t="n">
        <x:f>IF(A180="","",IF(O180&gt;0,ROUND(MAX(K180-L180,0)+P180+Q180,2),0))</x:f>
        <x:v>0</x:v>
      </x:c>
      <x:c r="S180" s="131" t="n">
        <x:f>IF(A180="","",IF(OR(N180="Paga",O180&gt;0),0,ROUND(IF(K180=0,0,G180*MAX(K180-L180,0)/K180)/(1+'Parâmetros'!$C$13)^((C180-$A$5)/30),2)))</x:f>
        <x:v>43.34</x:v>
      </x:c>
      <x:c r="T180" s="131" t="n">
        <x:f>IF(A180="","",0)</x:f>
        <x:v>0</x:v>
      </x:c>
      <x:c r="U180" s="131" t="n">
        <x:f>IF(A180="","",0)</x:f>
        <x:v>0</x:v>
      </x:c>
      <x:c r="V180" s="131" t="n">
        <x:f>IF(A180="","",IF(N180="Paga",0,IF(O180&gt;0,R180,S180)))</x:f>
        <x:v>43.34</x:v>
      </x:c>
      <x:c r="W180" s="131" t="n">
        <x:f>IF(A180="","",ROUND(MAX(D180-F180,0),2))</x:f>
        <x:v>2649.64</x:v>
      </x:c>
      <x:c r="X180" s="131" t="n">
        <x:f>IF(A180="","",ROUND(SUM($G180:$G$407),2))</x:f>
        <x:v>2926.24</x:v>
      </x:c>
      <x:c r="Y180" s="131" t="n">
        <x:f>IF(A180="","",ROUND(MAX(X180-D180,0),2))</x:f>
        <x:v>208.19</x:v>
      </x:c>
      <x:c r="Z180" s="131" t="n">
        <x:f>IF(A180="","",ROUND(SUM($V180:$V$407),2))</x:f>
        <x:v>1506.71</x:v>
      </x:c>
      <x:c r="AA180" s="131" t="n">
        <x:f>IF(A180="","",ROUND(SUM($K180:$K$407)-Z180,2))</x:f>
        <x:v>15756.66</x:v>
      </x:c>
      <x:c r="AB180" s="77"/>
      <x:c r="AC180" s="36" t="str">
        <x:f>IF(A180="","",IF(O180&gt;0,"Vencido: saldo da fatura + mora",IF(O180&lt;=0,"Vincendo: VP da parcela financeira; comissão/proteção futuras isentas","")))</x:f>
        <x:v>Vincendo: VP da parcela financeira; comissão/proteção futuras isentas</x:v>
      </x:c>
    </x:row>
    <x:row r="181">
      <x:c r="A181" s="129" t="n">
        <x:f>IF(ROW()-7&lt;=Contrato!$C$16,ROW()-7,"")</x:f>
        <x:v>174</x:v>
      </x:c>
      <x:c r="B181" s="129" t="n">
        <x:f>IF(A181="","",Contrato!$C$16)</x:f>
        <x:v>209</x:v>
      </x:c>
      <x:c r="C181" s="130" t="n">
        <x:f>IF(A181="","",IF(AB181&lt;&gt;"",AB181,IF(Contrato!$C$14="Mensal",EDATE(Contrato!$C$13,A181-1),Contrato!$C$13+(A181-1)*IF(Contrato!$C$14="Quinzenal",14,IF(Contrato!$C$14="Semanal",7,1)))))</x:f>
        <x:v>47480</x:v>
      </x:c>
      <x:c r="D181" s="131" t="n">
        <x:f>IF(A181="","",W180)</x:f>
        <x:v>2649.64</x:v>
      </x:c>
      <x:c r="E181" s="131" t="n">
        <x:f>IF(A181="","",ROUND(D181*Simulador!$I$18,2))</x:f>
        <x:v>10.44</x:v>
      </x:c>
      <x:c r="F181" s="131" t="n">
        <x:f>IF(A181="","",ROUND(MIN(D181,MAX(G181-E181,0)),2))</x:f>
        <x:v>68.68</x:v>
      </x:c>
      <x:c r="G181" s="131" t="n">
        <x:f>IF(A181="","",IF(A181&lt;Contrato!$C$16,Contrato!$C$27,Contrato!$C$28))</x:f>
        <x:v>79.12</x:v>
      </x:c>
      <x:c r="H181" s="131" t="n">
        <x:f>IF(A181="","",Contrato!$C$29)</x:f>
        <x:v>199.99</x:v>
      </x:c>
      <x:c r="I181" s="131" t="n">
        <x:f>IF(A181="","",Contrato!$C$30)</x:f>
        <x:v>187.5</x:v>
      </x:c>
      <x:c r="J181" s="131" t="n">
        <x:f>IF(A181="","",Contrato!$C$31)</x:f>
        <x:v>0</x:v>
      </x:c>
      <x:c r="K181" s="131" t="n">
        <x:f>IF(A181="","",ROUND(SUM(G181:J181),2))</x:f>
        <x:v>466.61</x:v>
      </x:c>
      <x:c r="L181" s="80"/>
      <x:c r="M181" s="77"/>
      <x:c r="N181" s="29" t="str">
        <x:f>IF(A181="","",IF(L181&gt;=K181,"Paga",IF(L181&gt;0,"Paga parcialmente",IF(C181&lt;$A$5,"Vencida","Prevista"))))</x:f>
        <x:v>Prevista</x:v>
      </x:c>
      <x:c r="O181" s="29" t="n">
        <x:f>IF(A181="","",$A$5-C181)</x:f>
        <x:v>-1220</x:v>
      </x:c>
      <x:c r="P181" s="131" t="n">
        <x:f>IF(A181="","",IF(AND(O181&gt;0,MAX(K181-L181,0)&gt;0,N181&lt;&gt;"Paga"),ROUND(MAX(K181-L181,0)*'Parâmetros'!$B$34,2),0))</x:f>
        <x:v>0</x:v>
      </x:c>
      <x:c r="Q181" s="131" t="n">
        <x:f>IF(A181="","",IF(AND(O181&gt;0,MAX(K181-L181,0)&gt;0,N181&lt;&gt;"Paga"),ROUND(MAX(K181-L181,0)*'Parâmetros'!$B$35*(O181/'Parâmetros'!$B$33),2),0))</x:f>
        <x:v>0</x:v>
      </x:c>
      <x:c r="R181" s="131" t="n">
        <x:f>IF(A181="","",IF(O181&gt;0,ROUND(MAX(K181-L181,0)+P181+Q181,2),0))</x:f>
        <x:v>0</x:v>
      </x:c>
      <x:c r="S181" s="131" t="n">
        <x:f>IF(A181="","",IF(OR(N181="Paga",O181&gt;0),0,ROUND(IF(K181=0,0,G181*MAX(K181-L181,0)/K181)/(1+'Parâmetros'!$C$13)^((C181-$A$5)/30),2)))</x:f>
        <x:v>43.19</x:v>
      </x:c>
      <x:c r="T181" s="131" t="n">
        <x:f>IF(A181="","",0)</x:f>
        <x:v>0</x:v>
      </x:c>
      <x:c r="U181" s="131" t="n">
        <x:f>IF(A181="","",0)</x:f>
        <x:v>0</x:v>
      </x:c>
      <x:c r="V181" s="131" t="n">
        <x:f>IF(A181="","",IF(N181="Paga",0,IF(O181&gt;0,R181,S181)))</x:f>
        <x:v>43.19</x:v>
      </x:c>
      <x:c r="W181" s="131" t="n">
        <x:f>IF(A181="","",ROUND(MAX(D181-F181,0),2))</x:f>
        <x:v>2580.96</x:v>
      </x:c>
      <x:c r="X181" s="131" t="n">
        <x:f>IF(A181="","",ROUND(SUM($G181:$G$407),2))</x:f>
        <x:v>2847.12</x:v>
      </x:c>
      <x:c r="Y181" s="131" t="n">
        <x:f>IF(A181="","",ROUND(MAX(X181-D181,0),2))</x:f>
        <x:v>197.48</x:v>
      </x:c>
      <x:c r="Z181" s="131" t="n">
        <x:f>IF(A181="","",ROUND(SUM($V181:$V$407),2))</x:f>
        <x:v>1463.37</x:v>
      </x:c>
      <x:c r="AA181" s="131" t="n">
        <x:f>IF(A181="","",ROUND(SUM($K181:$K$407)-Z181,2))</x:f>
        <x:v>15333.39</x:v>
      </x:c>
      <x:c r="AB181" s="77"/>
      <x:c r="AC181" s="36" t="str">
        <x:f>IF(A181="","",IF(O181&gt;0,"Vencido: saldo da fatura + mora",IF(O181&lt;=0,"Vincendo: VP da parcela financeira; comissão/proteção futuras isentas","")))</x:f>
        <x:v>Vincendo: VP da parcela financeira; comissão/proteção futuras isentas</x:v>
      </x:c>
    </x:row>
    <x:row r="182">
      <x:c r="A182" s="129" t="n">
        <x:f>IF(ROW()-7&lt;=Contrato!$C$16,ROW()-7,"")</x:f>
        <x:v>175</x:v>
      </x:c>
      <x:c r="B182" s="129" t="n">
        <x:f>IF(A182="","",Contrato!$C$16)</x:f>
        <x:v>209</x:v>
      </x:c>
      <x:c r="C182" s="130" t="n">
        <x:f>IF(A182="","",IF(AB182&lt;&gt;"",AB182,IF(Contrato!$C$14="Mensal",EDATE(Contrato!$C$13,A182-1),Contrato!$C$13+(A182-1)*IF(Contrato!$C$14="Quinzenal",14,IF(Contrato!$C$14="Semanal",7,1)))))</x:f>
        <x:v>47487</x:v>
      </x:c>
      <x:c r="D182" s="131" t="n">
        <x:f>IF(A182="","",W181)</x:f>
        <x:v>2580.96</x:v>
      </x:c>
      <x:c r="E182" s="131" t="n">
        <x:f>IF(A182="","",ROUND(D182*Simulador!$I$18,2))</x:f>
        <x:v>10.17</x:v>
      </x:c>
      <x:c r="F182" s="131" t="n">
        <x:f>IF(A182="","",ROUND(MIN(D182,MAX(G182-E182,0)),2))</x:f>
        <x:v>68.95</x:v>
      </x:c>
      <x:c r="G182" s="131" t="n">
        <x:f>IF(A182="","",IF(A182&lt;Contrato!$C$16,Contrato!$C$27,Contrato!$C$28))</x:f>
        <x:v>79.12</x:v>
      </x:c>
      <x:c r="H182" s="131" t="n">
        <x:f>IF(A182="","",Contrato!$C$29)</x:f>
        <x:v>199.99</x:v>
      </x:c>
      <x:c r="I182" s="131" t="n">
        <x:f>IF(A182="","",Contrato!$C$30)</x:f>
        <x:v>187.5</x:v>
      </x:c>
      <x:c r="J182" s="131" t="n">
        <x:f>IF(A182="","",Contrato!$C$31)</x:f>
        <x:v>0</x:v>
      </x:c>
      <x:c r="K182" s="131" t="n">
        <x:f>IF(A182="","",ROUND(SUM(G182:J182),2))</x:f>
        <x:v>466.61</x:v>
      </x:c>
      <x:c r="L182" s="80"/>
      <x:c r="M182" s="77"/>
      <x:c r="N182" s="29" t="str">
        <x:f>IF(A182="","",IF(L182&gt;=K182,"Paga",IF(L182&gt;0,"Paga parcialmente",IF(C182&lt;$A$5,"Vencida","Prevista"))))</x:f>
        <x:v>Prevista</x:v>
      </x:c>
      <x:c r="O182" s="29" t="n">
        <x:f>IF(A182="","",$A$5-C182)</x:f>
        <x:v>-1227</x:v>
      </x:c>
      <x:c r="P182" s="131" t="n">
        <x:f>IF(A182="","",IF(AND(O182&gt;0,MAX(K182-L182,0)&gt;0,N182&lt;&gt;"Paga"),ROUND(MAX(K182-L182,0)*'Parâmetros'!$B$34,2),0))</x:f>
        <x:v>0</x:v>
      </x:c>
      <x:c r="Q182" s="131" t="n">
        <x:f>IF(A182="","",IF(AND(O182&gt;0,MAX(K182-L182,0)&gt;0,N182&lt;&gt;"Paga"),ROUND(MAX(K182-L182,0)*'Parâmetros'!$B$35*(O182/'Parâmetros'!$B$33),2),0))</x:f>
        <x:v>0</x:v>
      </x:c>
      <x:c r="R182" s="131" t="n">
        <x:f>IF(A182="","",IF(O182&gt;0,ROUND(MAX(K182-L182,0)+P182+Q182,2),0))</x:f>
        <x:v>0</x:v>
      </x:c>
      <x:c r="S182" s="131" t="n">
        <x:f>IF(A182="","",IF(OR(N182="Paga",O182&gt;0),0,ROUND(IF(K182=0,0,G182*MAX(K182-L182,0)/K182)/(1+'Parâmetros'!$C$13)^((C182-$A$5)/30),2)))</x:f>
        <x:v>43.04</x:v>
      </x:c>
      <x:c r="T182" s="131" t="n">
        <x:f>IF(A182="","",0)</x:f>
        <x:v>0</x:v>
      </x:c>
      <x:c r="U182" s="131" t="n">
        <x:f>IF(A182="","",0)</x:f>
        <x:v>0</x:v>
      </x:c>
      <x:c r="V182" s="131" t="n">
        <x:f>IF(A182="","",IF(N182="Paga",0,IF(O182&gt;0,R182,S182)))</x:f>
        <x:v>43.04</x:v>
      </x:c>
      <x:c r="W182" s="131" t="n">
        <x:f>IF(A182="","",ROUND(MAX(D182-F182,0),2))</x:f>
        <x:v>2512.01</x:v>
      </x:c>
      <x:c r="X182" s="131" t="n">
        <x:f>IF(A182="","",ROUND(SUM($G182:$G$407),2))</x:f>
        <x:v>2768</x:v>
      </x:c>
      <x:c r="Y182" s="131" t="n">
        <x:f>IF(A182="","",ROUND(MAX(X182-D182,0),2))</x:f>
        <x:v>187.04</x:v>
      </x:c>
      <x:c r="Z182" s="131" t="n">
        <x:f>IF(A182="","",ROUND(SUM($V182:$V$407),2))</x:f>
        <x:v>1420.18</x:v>
      </x:c>
      <x:c r="AA182" s="131" t="n">
        <x:f>IF(A182="","",ROUND(SUM($K182:$K$407)-Z182,2))</x:f>
        <x:v>14909.97</x:v>
      </x:c>
      <x:c r="AB182" s="77"/>
      <x:c r="AC182" s="36" t="str">
        <x:f>IF(A182="","",IF(O182&gt;0,"Vencido: saldo da fatura + mora",IF(O182&lt;=0,"Vincendo: VP da parcela financeira; comissão/proteção futuras isentas","")))</x:f>
        <x:v>Vincendo: VP da parcela financeira; comissão/proteção futuras isentas</x:v>
      </x:c>
    </x:row>
    <x:row r="183">
      <x:c r="A183" s="129" t="n">
        <x:f>IF(ROW()-7&lt;=Contrato!$C$16,ROW()-7,"")</x:f>
        <x:v>176</x:v>
      </x:c>
      <x:c r="B183" s="129" t="n">
        <x:f>IF(A183="","",Contrato!$C$16)</x:f>
        <x:v>209</x:v>
      </x:c>
      <x:c r="C183" s="130" t="n">
        <x:f>IF(A183="","",IF(AB183&lt;&gt;"",AB183,IF(Contrato!$C$14="Mensal",EDATE(Contrato!$C$13,A183-1),Contrato!$C$13+(A183-1)*IF(Contrato!$C$14="Quinzenal",14,IF(Contrato!$C$14="Semanal",7,1)))))</x:f>
        <x:v>47494</x:v>
      </x:c>
      <x:c r="D183" s="131" t="n">
        <x:f>IF(A183="","",W182)</x:f>
        <x:v>2512.01</x:v>
      </x:c>
      <x:c r="E183" s="131" t="n">
        <x:f>IF(A183="","",ROUND(D183*Simulador!$I$18,2))</x:f>
        <x:v>9.9</x:v>
      </x:c>
      <x:c r="F183" s="131" t="n">
        <x:f>IF(A183="","",ROUND(MIN(D183,MAX(G183-E183,0)),2))</x:f>
        <x:v>69.22</x:v>
      </x:c>
      <x:c r="G183" s="131" t="n">
        <x:f>IF(A183="","",IF(A183&lt;Contrato!$C$16,Contrato!$C$27,Contrato!$C$28))</x:f>
        <x:v>79.12</x:v>
      </x:c>
      <x:c r="H183" s="131" t="n">
        <x:f>IF(A183="","",Contrato!$C$29)</x:f>
        <x:v>199.99</x:v>
      </x:c>
      <x:c r="I183" s="131" t="n">
        <x:f>IF(A183="","",Contrato!$C$30)</x:f>
        <x:v>187.5</x:v>
      </x:c>
      <x:c r="J183" s="131" t="n">
        <x:f>IF(A183="","",Contrato!$C$31)</x:f>
        <x:v>0</x:v>
      </x:c>
      <x:c r="K183" s="131" t="n">
        <x:f>IF(A183="","",ROUND(SUM(G183:J183),2))</x:f>
        <x:v>466.61</x:v>
      </x:c>
      <x:c r="L183" s="80"/>
      <x:c r="M183" s="77"/>
      <x:c r="N183" s="29" t="str">
        <x:f>IF(A183="","",IF(L183&gt;=K183,"Paga",IF(L183&gt;0,"Paga parcialmente",IF(C183&lt;$A$5,"Vencida","Prevista"))))</x:f>
        <x:v>Prevista</x:v>
      </x:c>
      <x:c r="O183" s="29" t="n">
        <x:f>IF(A183="","",$A$5-C183)</x:f>
        <x:v>-1234</x:v>
      </x:c>
      <x:c r="P183" s="131" t="n">
        <x:f>IF(A183="","",IF(AND(O183&gt;0,MAX(K183-L183,0)&gt;0,N183&lt;&gt;"Paga"),ROUND(MAX(K183-L183,0)*'Parâmetros'!$B$34,2),0))</x:f>
        <x:v>0</x:v>
      </x:c>
      <x:c r="Q183" s="131" t="n">
        <x:f>IF(A183="","",IF(AND(O183&gt;0,MAX(K183-L183,0)&gt;0,N183&lt;&gt;"Paga"),ROUND(MAX(K183-L183,0)*'Parâmetros'!$B$35*(O183/'Parâmetros'!$B$33),2),0))</x:f>
        <x:v>0</x:v>
      </x:c>
      <x:c r="R183" s="131" t="n">
        <x:f>IF(A183="","",IF(O183&gt;0,ROUND(MAX(K183-L183,0)+P183+Q183,2),0))</x:f>
        <x:v>0</x:v>
      </x:c>
      <x:c r="S183" s="131" t="n">
        <x:f>IF(A183="","",IF(OR(N183="Paga",O183&gt;0),0,ROUND(IF(K183=0,0,G183*MAX(K183-L183,0)/K183)/(1+'Parâmetros'!$C$13)^((C183-$A$5)/30),2)))</x:f>
        <x:v>42.89</x:v>
      </x:c>
      <x:c r="T183" s="131" t="n">
        <x:f>IF(A183="","",0)</x:f>
        <x:v>0</x:v>
      </x:c>
      <x:c r="U183" s="131" t="n">
        <x:f>IF(A183="","",0)</x:f>
        <x:v>0</x:v>
      </x:c>
      <x:c r="V183" s="131" t="n">
        <x:f>IF(A183="","",IF(N183="Paga",0,IF(O183&gt;0,R183,S183)))</x:f>
        <x:v>42.89</x:v>
      </x:c>
      <x:c r="W183" s="131" t="n">
        <x:f>IF(A183="","",ROUND(MAX(D183-F183,0),2))</x:f>
        <x:v>2442.79</x:v>
      </x:c>
      <x:c r="X183" s="131" t="n">
        <x:f>IF(A183="","",ROUND(SUM($G183:$G$407),2))</x:f>
        <x:v>2688.88</x:v>
      </x:c>
      <x:c r="Y183" s="131" t="n">
        <x:f>IF(A183="","",ROUND(MAX(X183-D183,0),2))</x:f>
        <x:v>176.87</x:v>
      </x:c>
      <x:c r="Z183" s="131" t="n">
        <x:f>IF(A183="","",ROUND(SUM($V183:$V$407),2))</x:f>
        <x:v>1377.14</x:v>
      </x:c>
      <x:c r="AA183" s="131" t="n">
        <x:f>IF(A183="","",ROUND(SUM($K183:$K$407)-Z183,2))</x:f>
        <x:v>14486.4</x:v>
      </x:c>
      <x:c r="AB183" s="77"/>
      <x:c r="AC183" s="36" t="str">
        <x:f>IF(A183="","",IF(O183&gt;0,"Vencido: saldo da fatura + mora",IF(O183&lt;=0,"Vincendo: VP da parcela financeira; comissão/proteção futuras isentas","")))</x:f>
        <x:v>Vincendo: VP da parcela financeira; comissão/proteção futuras isentas</x:v>
      </x:c>
    </x:row>
    <x:row r="184">
      <x:c r="A184" s="129" t="n">
        <x:f>IF(ROW()-7&lt;=Contrato!$C$16,ROW()-7,"")</x:f>
        <x:v>177</x:v>
      </x:c>
      <x:c r="B184" s="129" t="n">
        <x:f>IF(A184="","",Contrato!$C$16)</x:f>
        <x:v>209</x:v>
      </x:c>
      <x:c r="C184" s="130" t="n">
        <x:f>IF(A184="","",IF(AB184&lt;&gt;"",AB184,IF(Contrato!$C$14="Mensal",EDATE(Contrato!$C$13,A184-1),Contrato!$C$13+(A184-1)*IF(Contrato!$C$14="Quinzenal",14,IF(Contrato!$C$14="Semanal",7,1)))))</x:f>
        <x:v>47501</x:v>
      </x:c>
      <x:c r="D184" s="131" t="n">
        <x:f>IF(A184="","",W183)</x:f>
        <x:v>2442.79</x:v>
      </x:c>
      <x:c r="E184" s="131" t="n">
        <x:f>IF(A184="","",ROUND(D184*Simulador!$I$18,2))</x:f>
        <x:v>9.63</x:v>
      </x:c>
      <x:c r="F184" s="131" t="n">
        <x:f>IF(A184="","",ROUND(MIN(D184,MAX(G184-E184,0)),2))</x:f>
        <x:v>69.49</x:v>
      </x:c>
      <x:c r="G184" s="131" t="n">
        <x:f>IF(A184="","",IF(A184&lt;Contrato!$C$16,Contrato!$C$27,Contrato!$C$28))</x:f>
        <x:v>79.12</x:v>
      </x:c>
      <x:c r="H184" s="131" t="n">
        <x:f>IF(A184="","",Contrato!$C$29)</x:f>
        <x:v>199.99</x:v>
      </x:c>
      <x:c r="I184" s="131" t="n">
        <x:f>IF(A184="","",Contrato!$C$30)</x:f>
        <x:v>187.5</x:v>
      </x:c>
      <x:c r="J184" s="131" t="n">
        <x:f>IF(A184="","",Contrato!$C$31)</x:f>
        <x:v>0</x:v>
      </x:c>
      <x:c r="K184" s="131" t="n">
        <x:f>IF(A184="","",ROUND(SUM(G184:J184),2))</x:f>
        <x:v>466.61</x:v>
      </x:c>
      <x:c r="L184" s="80"/>
      <x:c r="M184" s="77"/>
      <x:c r="N184" s="29" t="str">
        <x:f>IF(A184="","",IF(L184&gt;=K184,"Paga",IF(L184&gt;0,"Paga parcialmente",IF(C184&lt;$A$5,"Vencida","Prevista"))))</x:f>
        <x:v>Prevista</x:v>
      </x:c>
      <x:c r="O184" s="29" t="n">
        <x:f>IF(A184="","",$A$5-C184)</x:f>
        <x:v>-1241</x:v>
      </x:c>
      <x:c r="P184" s="131" t="n">
        <x:f>IF(A184="","",IF(AND(O184&gt;0,MAX(K184-L184,0)&gt;0,N184&lt;&gt;"Paga"),ROUND(MAX(K184-L184,0)*'Parâmetros'!$B$34,2),0))</x:f>
        <x:v>0</x:v>
      </x:c>
      <x:c r="Q184" s="131" t="n">
        <x:f>IF(A184="","",IF(AND(O184&gt;0,MAX(K184-L184,0)&gt;0,N184&lt;&gt;"Paga"),ROUND(MAX(K184-L184,0)*'Parâmetros'!$B$35*(O184/'Parâmetros'!$B$33),2),0))</x:f>
        <x:v>0</x:v>
      </x:c>
      <x:c r="R184" s="131" t="n">
        <x:f>IF(A184="","",IF(O184&gt;0,ROUND(MAX(K184-L184,0)+P184+Q184,2),0))</x:f>
        <x:v>0</x:v>
      </x:c>
      <x:c r="S184" s="131" t="n">
        <x:f>IF(A184="","",IF(OR(N184="Paga",O184&gt;0),0,ROUND(IF(K184=0,0,G184*MAX(K184-L184,0)/K184)/(1+'Parâmetros'!$C$13)^((C184-$A$5)/30),2)))</x:f>
        <x:v>42.74</x:v>
      </x:c>
      <x:c r="T184" s="131" t="n">
        <x:f>IF(A184="","",0)</x:f>
        <x:v>0</x:v>
      </x:c>
      <x:c r="U184" s="131" t="n">
        <x:f>IF(A184="","",0)</x:f>
        <x:v>0</x:v>
      </x:c>
      <x:c r="V184" s="131" t="n">
        <x:f>IF(A184="","",IF(N184="Paga",0,IF(O184&gt;0,R184,S184)))</x:f>
        <x:v>42.74</x:v>
      </x:c>
      <x:c r="W184" s="131" t="n">
        <x:f>IF(A184="","",ROUND(MAX(D184-F184,0),2))</x:f>
        <x:v>2373.3</x:v>
      </x:c>
      <x:c r="X184" s="131" t="n">
        <x:f>IF(A184="","",ROUND(SUM($G184:$G$407),2))</x:f>
        <x:v>2609.76</x:v>
      </x:c>
      <x:c r="Y184" s="131" t="n">
        <x:f>IF(A184="","",ROUND(MAX(X184-D184,0),2))</x:f>
        <x:v>166.97</x:v>
      </x:c>
      <x:c r="Z184" s="131" t="n">
        <x:f>IF(A184="","",ROUND(SUM($V184:$V$407),2))</x:f>
        <x:v>1334.25</x:v>
      </x:c>
      <x:c r="AA184" s="131" t="n">
        <x:f>IF(A184="","",ROUND(SUM($K184:$K$407)-Z184,2))</x:f>
        <x:v>14062.68</x:v>
      </x:c>
      <x:c r="AB184" s="77"/>
      <x:c r="AC184" s="36" t="str">
        <x:f>IF(A184="","",IF(O184&gt;0,"Vencido: saldo da fatura + mora",IF(O184&lt;=0,"Vincendo: VP da parcela financeira; comissão/proteção futuras isentas","")))</x:f>
        <x:v>Vincendo: VP da parcela financeira; comissão/proteção futuras isentas</x:v>
      </x:c>
    </x:row>
    <x:row r="185">
      <x:c r="A185" s="129" t="n">
        <x:f>IF(ROW()-7&lt;=Contrato!$C$16,ROW()-7,"")</x:f>
        <x:v>178</x:v>
      </x:c>
      <x:c r="B185" s="129" t="n">
        <x:f>IF(A185="","",Contrato!$C$16)</x:f>
        <x:v>209</x:v>
      </x:c>
      <x:c r="C185" s="130" t="n">
        <x:f>IF(A185="","",IF(AB185&lt;&gt;"",AB185,IF(Contrato!$C$14="Mensal",EDATE(Contrato!$C$13,A185-1),Contrato!$C$13+(A185-1)*IF(Contrato!$C$14="Quinzenal",14,IF(Contrato!$C$14="Semanal",7,1)))))</x:f>
        <x:v>47508</x:v>
      </x:c>
      <x:c r="D185" s="131" t="n">
        <x:f>IF(A185="","",W184)</x:f>
        <x:v>2373.3</x:v>
      </x:c>
      <x:c r="E185" s="131" t="n">
        <x:f>IF(A185="","",ROUND(D185*Simulador!$I$18,2))</x:f>
        <x:v>9.35</x:v>
      </x:c>
      <x:c r="F185" s="131" t="n">
        <x:f>IF(A185="","",ROUND(MIN(D185,MAX(G185-E185,0)),2))</x:f>
        <x:v>69.77</x:v>
      </x:c>
      <x:c r="G185" s="131" t="n">
        <x:f>IF(A185="","",IF(A185&lt;Contrato!$C$16,Contrato!$C$27,Contrato!$C$28))</x:f>
        <x:v>79.12</x:v>
      </x:c>
      <x:c r="H185" s="131" t="n">
        <x:f>IF(A185="","",Contrato!$C$29)</x:f>
        <x:v>199.99</x:v>
      </x:c>
      <x:c r="I185" s="131" t="n">
        <x:f>IF(A185="","",Contrato!$C$30)</x:f>
        <x:v>187.5</x:v>
      </x:c>
      <x:c r="J185" s="131" t="n">
        <x:f>IF(A185="","",Contrato!$C$31)</x:f>
        <x:v>0</x:v>
      </x:c>
      <x:c r="K185" s="131" t="n">
        <x:f>IF(A185="","",ROUND(SUM(G185:J185),2))</x:f>
        <x:v>466.61</x:v>
      </x:c>
      <x:c r="L185" s="80"/>
      <x:c r="M185" s="77"/>
      <x:c r="N185" s="29" t="str">
        <x:f>IF(A185="","",IF(L185&gt;=K185,"Paga",IF(L185&gt;0,"Paga parcialmente",IF(C185&lt;$A$5,"Vencida","Prevista"))))</x:f>
        <x:v>Prevista</x:v>
      </x:c>
      <x:c r="O185" s="29" t="n">
        <x:f>IF(A185="","",$A$5-C185)</x:f>
        <x:v>-1248</x:v>
      </x:c>
      <x:c r="P185" s="131" t="n">
        <x:f>IF(A185="","",IF(AND(O185&gt;0,MAX(K185-L185,0)&gt;0,N185&lt;&gt;"Paga"),ROUND(MAX(K185-L185,0)*'Parâmetros'!$B$34,2),0))</x:f>
        <x:v>0</x:v>
      </x:c>
      <x:c r="Q185" s="131" t="n">
        <x:f>IF(A185="","",IF(AND(O185&gt;0,MAX(K185-L185,0)&gt;0,N185&lt;&gt;"Paga"),ROUND(MAX(K185-L185,0)*'Parâmetros'!$B$35*(O185/'Parâmetros'!$B$33),2),0))</x:f>
        <x:v>0</x:v>
      </x:c>
      <x:c r="R185" s="131" t="n">
        <x:f>IF(A185="","",IF(O185&gt;0,ROUND(MAX(K185-L185,0)+P185+Q185,2),0))</x:f>
        <x:v>0</x:v>
      </x:c>
      <x:c r="S185" s="131" t="n">
        <x:f>IF(A185="","",IF(OR(N185="Paga",O185&gt;0),0,ROUND(IF(K185=0,0,G185*MAX(K185-L185,0)/K185)/(1+'Parâmetros'!$C$13)^((C185-$A$5)/30),2)))</x:f>
        <x:v>42.59</x:v>
      </x:c>
      <x:c r="T185" s="131" t="n">
        <x:f>IF(A185="","",0)</x:f>
        <x:v>0</x:v>
      </x:c>
      <x:c r="U185" s="131" t="n">
        <x:f>IF(A185="","",0)</x:f>
        <x:v>0</x:v>
      </x:c>
      <x:c r="V185" s="131" t="n">
        <x:f>IF(A185="","",IF(N185="Paga",0,IF(O185&gt;0,R185,S185)))</x:f>
        <x:v>42.59</x:v>
      </x:c>
      <x:c r="W185" s="131" t="n">
        <x:f>IF(A185="","",ROUND(MAX(D185-F185,0),2))</x:f>
        <x:v>2303.53</x:v>
      </x:c>
      <x:c r="X185" s="131" t="n">
        <x:f>IF(A185="","",ROUND(SUM($G185:$G$407),2))</x:f>
        <x:v>2530.64</x:v>
      </x:c>
      <x:c r="Y185" s="131" t="n">
        <x:f>IF(A185="","",ROUND(MAX(X185-D185,0),2))</x:f>
        <x:v>157.34</x:v>
      </x:c>
      <x:c r="Z185" s="131" t="n">
        <x:f>IF(A185="","",ROUND(SUM($V185:$V$407),2))</x:f>
        <x:v>1291.51</x:v>
      </x:c>
      <x:c r="AA185" s="131" t="n">
        <x:f>IF(A185="","",ROUND(SUM($K185:$K$407)-Z185,2))</x:f>
        <x:v>13638.81</x:v>
      </x:c>
      <x:c r="AB185" s="77"/>
      <x:c r="AC185" s="36" t="str">
        <x:f>IF(A185="","",IF(O185&gt;0,"Vencido: saldo da fatura + mora",IF(O185&lt;=0,"Vincendo: VP da parcela financeira; comissão/proteção futuras isentas","")))</x:f>
        <x:v>Vincendo: VP da parcela financeira; comissão/proteção futuras isentas</x:v>
      </x:c>
    </x:row>
    <x:row r="186">
      <x:c r="A186" s="129" t="n">
        <x:f>IF(ROW()-7&lt;=Contrato!$C$16,ROW()-7,"")</x:f>
        <x:v>179</x:v>
      </x:c>
      <x:c r="B186" s="129" t="n">
        <x:f>IF(A186="","",Contrato!$C$16)</x:f>
        <x:v>209</x:v>
      </x:c>
      <x:c r="C186" s="130" t="n">
        <x:f>IF(A186="","",IF(AB186&lt;&gt;"",AB186,IF(Contrato!$C$14="Mensal",EDATE(Contrato!$C$13,A186-1),Contrato!$C$13+(A186-1)*IF(Contrato!$C$14="Quinzenal",14,IF(Contrato!$C$14="Semanal",7,1)))))</x:f>
        <x:v>47515</x:v>
      </x:c>
      <x:c r="D186" s="131" t="n">
        <x:f>IF(A186="","",W185)</x:f>
        <x:v>2303.53</x:v>
      </x:c>
      <x:c r="E186" s="131" t="n">
        <x:f>IF(A186="","",ROUND(D186*Simulador!$I$18,2))</x:f>
        <x:v>9.08</x:v>
      </x:c>
      <x:c r="F186" s="131" t="n">
        <x:f>IF(A186="","",ROUND(MIN(D186,MAX(G186-E186,0)),2))</x:f>
        <x:v>70.04</x:v>
      </x:c>
      <x:c r="G186" s="131" t="n">
        <x:f>IF(A186="","",IF(A186&lt;Contrato!$C$16,Contrato!$C$27,Contrato!$C$28))</x:f>
        <x:v>79.12</x:v>
      </x:c>
      <x:c r="H186" s="131" t="n">
        <x:f>IF(A186="","",Contrato!$C$29)</x:f>
        <x:v>199.99</x:v>
      </x:c>
      <x:c r="I186" s="131" t="n">
        <x:f>IF(A186="","",Contrato!$C$30)</x:f>
        <x:v>187.5</x:v>
      </x:c>
      <x:c r="J186" s="131" t="n">
        <x:f>IF(A186="","",Contrato!$C$31)</x:f>
        <x:v>0</x:v>
      </x:c>
      <x:c r="K186" s="131" t="n">
        <x:f>IF(A186="","",ROUND(SUM(G186:J186),2))</x:f>
        <x:v>466.61</x:v>
      </x:c>
      <x:c r="L186" s="80"/>
      <x:c r="M186" s="77"/>
      <x:c r="N186" s="29" t="str">
        <x:f>IF(A186="","",IF(L186&gt;=K186,"Paga",IF(L186&gt;0,"Paga parcialmente",IF(C186&lt;$A$5,"Vencida","Prevista"))))</x:f>
        <x:v>Prevista</x:v>
      </x:c>
      <x:c r="O186" s="29" t="n">
        <x:f>IF(A186="","",$A$5-C186)</x:f>
        <x:v>-1255</x:v>
      </x:c>
      <x:c r="P186" s="131" t="n">
        <x:f>IF(A186="","",IF(AND(O186&gt;0,MAX(K186-L186,0)&gt;0,N186&lt;&gt;"Paga"),ROUND(MAX(K186-L186,0)*'Parâmetros'!$B$34,2),0))</x:f>
        <x:v>0</x:v>
      </x:c>
      <x:c r="Q186" s="131" t="n">
        <x:f>IF(A186="","",IF(AND(O186&gt;0,MAX(K186-L186,0)&gt;0,N186&lt;&gt;"Paga"),ROUND(MAX(K186-L186,0)*'Parâmetros'!$B$35*(O186/'Parâmetros'!$B$33),2),0))</x:f>
        <x:v>0</x:v>
      </x:c>
      <x:c r="R186" s="131" t="n">
        <x:f>IF(A186="","",IF(O186&gt;0,ROUND(MAX(K186-L186,0)+P186+Q186,2),0))</x:f>
        <x:v>0</x:v>
      </x:c>
      <x:c r="S186" s="131" t="n">
        <x:f>IF(A186="","",IF(OR(N186="Paga",O186&gt;0),0,ROUND(IF(K186=0,0,G186*MAX(K186-L186,0)/K186)/(1+'Parâmetros'!$C$13)^((C186-$A$5)/30),2)))</x:f>
        <x:v>42.44</x:v>
      </x:c>
      <x:c r="T186" s="131" t="n">
        <x:f>IF(A186="","",0)</x:f>
        <x:v>0</x:v>
      </x:c>
      <x:c r="U186" s="131" t="n">
        <x:f>IF(A186="","",0)</x:f>
        <x:v>0</x:v>
      </x:c>
      <x:c r="V186" s="131" t="n">
        <x:f>IF(A186="","",IF(N186="Paga",0,IF(O186&gt;0,R186,S186)))</x:f>
        <x:v>42.44</x:v>
      </x:c>
      <x:c r="W186" s="131" t="n">
        <x:f>IF(A186="","",ROUND(MAX(D186-F186,0),2))</x:f>
        <x:v>2233.49</x:v>
      </x:c>
      <x:c r="X186" s="131" t="n">
        <x:f>IF(A186="","",ROUND(SUM($G186:$G$407),2))</x:f>
        <x:v>2451.52</x:v>
      </x:c>
      <x:c r="Y186" s="131" t="n">
        <x:f>IF(A186="","",ROUND(MAX(X186-D186,0),2))</x:f>
        <x:v>147.99</x:v>
      </x:c>
      <x:c r="Z186" s="131" t="n">
        <x:f>IF(A186="","",ROUND(SUM($V186:$V$407),2))</x:f>
        <x:v>1248.92</x:v>
      </x:c>
      <x:c r="AA186" s="131" t="n">
        <x:f>IF(A186="","",ROUND(SUM($K186:$K$407)-Z186,2))</x:f>
        <x:v>13214.79</x:v>
      </x:c>
      <x:c r="AB186" s="77"/>
      <x:c r="AC186" s="36" t="str">
        <x:f>IF(A186="","",IF(O186&gt;0,"Vencido: saldo da fatura + mora",IF(O186&lt;=0,"Vincendo: VP da parcela financeira; comissão/proteção futuras isentas","")))</x:f>
        <x:v>Vincendo: VP da parcela financeira; comissão/proteção futuras isentas</x:v>
      </x:c>
    </x:row>
    <x:row r="187">
      <x:c r="A187" s="129" t="n">
        <x:f>IF(ROW()-7&lt;=Contrato!$C$16,ROW()-7,"")</x:f>
        <x:v>180</x:v>
      </x:c>
      <x:c r="B187" s="129" t="n">
        <x:f>IF(A187="","",Contrato!$C$16)</x:f>
        <x:v>209</x:v>
      </x:c>
      <x:c r="C187" s="130" t="n">
        <x:f>IF(A187="","",IF(AB187&lt;&gt;"",AB187,IF(Contrato!$C$14="Mensal",EDATE(Contrato!$C$13,A187-1),Contrato!$C$13+(A187-1)*IF(Contrato!$C$14="Quinzenal",14,IF(Contrato!$C$14="Semanal",7,1)))))</x:f>
        <x:v>47522</x:v>
      </x:c>
      <x:c r="D187" s="131" t="n">
        <x:f>IF(A187="","",W186)</x:f>
        <x:v>2233.49</x:v>
      </x:c>
      <x:c r="E187" s="131" t="n">
        <x:f>IF(A187="","",ROUND(D187*Simulador!$I$18,2))</x:f>
        <x:v>8.8</x:v>
      </x:c>
      <x:c r="F187" s="131" t="n">
        <x:f>IF(A187="","",ROUND(MIN(D187,MAX(G187-E187,0)),2))</x:f>
        <x:v>70.32</x:v>
      </x:c>
      <x:c r="G187" s="131" t="n">
        <x:f>IF(A187="","",IF(A187&lt;Contrato!$C$16,Contrato!$C$27,Contrato!$C$28))</x:f>
        <x:v>79.12</x:v>
      </x:c>
      <x:c r="H187" s="131" t="n">
        <x:f>IF(A187="","",Contrato!$C$29)</x:f>
        <x:v>199.99</x:v>
      </x:c>
      <x:c r="I187" s="131" t="n">
        <x:f>IF(A187="","",Contrato!$C$30)</x:f>
        <x:v>187.5</x:v>
      </x:c>
      <x:c r="J187" s="131" t="n">
        <x:f>IF(A187="","",Contrato!$C$31)</x:f>
        <x:v>0</x:v>
      </x:c>
      <x:c r="K187" s="131" t="n">
        <x:f>IF(A187="","",ROUND(SUM(G187:J187),2))</x:f>
        <x:v>466.61</x:v>
      </x:c>
      <x:c r="L187" s="80"/>
      <x:c r="M187" s="77"/>
      <x:c r="N187" s="29" t="str">
        <x:f>IF(A187="","",IF(L187&gt;=K187,"Paga",IF(L187&gt;0,"Paga parcialmente",IF(C187&lt;$A$5,"Vencida","Prevista"))))</x:f>
        <x:v>Prevista</x:v>
      </x:c>
      <x:c r="O187" s="29" t="n">
        <x:f>IF(A187="","",$A$5-C187)</x:f>
        <x:v>-1262</x:v>
      </x:c>
      <x:c r="P187" s="131" t="n">
        <x:f>IF(A187="","",IF(AND(O187&gt;0,MAX(K187-L187,0)&gt;0,N187&lt;&gt;"Paga"),ROUND(MAX(K187-L187,0)*'Parâmetros'!$B$34,2),0))</x:f>
        <x:v>0</x:v>
      </x:c>
      <x:c r="Q187" s="131" t="n">
        <x:f>IF(A187="","",IF(AND(O187&gt;0,MAX(K187-L187,0)&gt;0,N187&lt;&gt;"Paga"),ROUND(MAX(K187-L187,0)*'Parâmetros'!$B$35*(O187/'Parâmetros'!$B$33),2),0))</x:f>
        <x:v>0</x:v>
      </x:c>
      <x:c r="R187" s="131" t="n">
        <x:f>IF(A187="","",IF(O187&gt;0,ROUND(MAX(K187-L187,0)+P187+Q187,2),0))</x:f>
        <x:v>0</x:v>
      </x:c>
      <x:c r="S187" s="131" t="n">
        <x:f>IF(A187="","",IF(OR(N187="Paga",O187&gt;0),0,ROUND(IF(K187=0,0,G187*MAX(K187-L187,0)/K187)/(1+'Parâmetros'!$C$13)^((C187-$A$5)/30),2)))</x:f>
        <x:v>42.29</x:v>
      </x:c>
      <x:c r="T187" s="131" t="n">
        <x:f>IF(A187="","",0)</x:f>
        <x:v>0</x:v>
      </x:c>
      <x:c r="U187" s="131" t="n">
        <x:f>IF(A187="","",0)</x:f>
        <x:v>0</x:v>
      </x:c>
      <x:c r="V187" s="131" t="n">
        <x:f>IF(A187="","",IF(N187="Paga",0,IF(O187&gt;0,R187,S187)))</x:f>
        <x:v>42.29</x:v>
      </x:c>
      <x:c r="W187" s="131" t="n">
        <x:f>IF(A187="","",ROUND(MAX(D187-F187,0),2))</x:f>
        <x:v>2163.17</x:v>
      </x:c>
      <x:c r="X187" s="131" t="n">
        <x:f>IF(A187="","",ROUND(SUM($G187:$G$407),2))</x:f>
        <x:v>2372.4</x:v>
      </x:c>
      <x:c r="Y187" s="131" t="n">
        <x:f>IF(A187="","",ROUND(MAX(X187-D187,0),2))</x:f>
        <x:v>138.91</x:v>
      </x:c>
      <x:c r="Z187" s="131" t="n">
        <x:f>IF(A187="","",ROUND(SUM($V187:$V$407),2))</x:f>
        <x:v>1206.48</x:v>
      </x:c>
      <x:c r="AA187" s="131" t="n">
        <x:f>IF(A187="","",ROUND(SUM($K187:$K$407)-Z187,2))</x:f>
        <x:v>12790.62</x:v>
      </x:c>
      <x:c r="AB187" s="77"/>
      <x:c r="AC187" s="36" t="str">
        <x:f>IF(A187="","",IF(O187&gt;0,"Vencido: saldo da fatura + mora",IF(O187&lt;=0,"Vincendo: VP da parcela financeira; comissão/proteção futuras isentas","")))</x:f>
        <x:v>Vincendo: VP da parcela financeira; comissão/proteção futuras isentas</x:v>
      </x:c>
    </x:row>
    <x:row r="188">
      <x:c r="A188" s="129" t="n">
        <x:f>IF(ROW()-7&lt;=Contrato!$C$16,ROW()-7,"")</x:f>
        <x:v>181</x:v>
      </x:c>
      <x:c r="B188" s="129" t="n">
        <x:f>IF(A188="","",Contrato!$C$16)</x:f>
        <x:v>209</x:v>
      </x:c>
      <x:c r="C188" s="130" t="n">
        <x:f>IF(A188="","",IF(AB188&lt;&gt;"",AB188,IF(Contrato!$C$14="Mensal",EDATE(Contrato!$C$13,A188-1),Contrato!$C$13+(A188-1)*IF(Contrato!$C$14="Quinzenal",14,IF(Contrato!$C$14="Semanal",7,1)))))</x:f>
        <x:v>47529</x:v>
      </x:c>
      <x:c r="D188" s="131" t="n">
        <x:f>IF(A188="","",W187)</x:f>
        <x:v>2163.17</x:v>
      </x:c>
      <x:c r="E188" s="131" t="n">
        <x:f>IF(A188="","",ROUND(D188*Simulador!$I$18,2))</x:f>
        <x:v>8.53</x:v>
      </x:c>
      <x:c r="F188" s="131" t="n">
        <x:f>IF(A188="","",ROUND(MIN(D188,MAX(G188-E188,0)),2))</x:f>
        <x:v>70.59</x:v>
      </x:c>
      <x:c r="G188" s="131" t="n">
        <x:f>IF(A188="","",IF(A188&lt;Contrato!$C$16,Contrato!$C$27,Contrato!$C$28))</x:f>
        <x:v>79.12</x:v>
      </x:c>
      <x:c r="H188" s="131" t="n">
        <x:f>IF(A188="","",Contrato!$C$29)</x:f>
        <x:v>199.99</x:v>
      </x:c>
      <x:c r="I188" s="131" t="n">
        <x:f>IF(A188="","",Contrato!$C$30)</x:f>
        <x:v>187.5</x:v>
      </x:c>
      <x:c r="J188" s="131" t="n">
        <x:f>IF(A188="","",Contrato!$C$31)</x:f>
        <x:v>0</x:v>
      </x:c>
      <x:c r="K188" s="131" t="n">
        <x:f>IF(A188="","",ROUND(SUM(G188:J188),2))</x:f>
        <x:v>466.61</x:v>
      </x:c>
      <x:c r="L188" s="80"/>
      <x:c r="M188" s="77"/>
      <x:c r="N188" s="29" t="str">
        <x:f>IF(A188="","",IF(L188&gt;=K188,"Paga",IF(L188&gt;0,"Paga parcialmente",IF(C188&lt;$A$5,"Vencida","Prevista"))))</x:f>
        <x:v>Prevista</x:v>
      </x:c>
      <x:c r="O188" s="29" t="n">
        <x:f>IF(A188="","",$A$5-C188)</x:f>
        <x:v>-1269</x:v>
      </x:c>
      <x:c r="P188" s="131" t="n">
        <x:f>IF(A188="","",IF(AND(O188&gt;0,MAX(K188-L188,0)&gt;0,N188&lt;&gt;"Paga"),ROUND(MAX(K188-L188,0)*'Parâmetros'!$B$34,2),0))</x:f>
        <x:v>0</x:v>
      </x:c>
      <x:c r="Q188" s="131" t="n">
        <x:f>IF(A188="","",IF(AND(O188&gt;0,MAX(K188-L188,0)&gt;0,N188&lt;&gt;"Paga"),ROUND(MAX(K188-L188,0)*'Parâmetros'!$B$35*(O188/'Parâmetros'!$B$33),2),0))</x:f>
        <x:v>0</x:v>
      </x:c>
      <x:c r="R188" s="131" t="n">
        <x:f>IF(A188="","",IF(O188&gt;0,ROUND(MAX(K188-L188,0)+P188+Q188,2),0))</x:f>
        <x:v>0</x:v>
      </x:c>
      <x:c r="S188" s="131" t="n">
        <x:f>IF(A188="","",IF(OR(N188="Paga",O188&gt;0),0,ROUND(IF(K188=0,0,G188*MAX(K188-L188,0)/K188)/(1+'Parâmetros'!$C$13)^((C188-$A$5)/30),2)))</x:f>
        <x:v>42.15</x:v>
      </x:c>
      <x:c r="T188" s="131" t="n">
        <x:f>IF(A188="","",0)</x:f>
        <x:v>0</x:v>
      </x:c>
      <x:c r="U188" s="131" t="n">
        <x:f>IF(A188="","",0)</x:f>
        <x:v>0</x:v>
      </x:c>
      <x:c r="V188" s="131" t="n">
        <x:f>IF(A188="","",IF(N188="Paga",0,IF(O188&gt;0,R188,S188)))</x:f>
        <x:v>42.15</x:v>
      </x:c>
      <x:c r="W188" s="131" t="n">
        <x:f>IF(A188="","",ROUND(MAX(D188-F188,0),2))</x:f>
        <x:v>2092.58</x:v>
      </x:c>
      <x:c r="X188" s="131" t="n">
        <x:f>IF(A188="","",ROUND(SUM($G188:$G$407),2))</x:f>
        <x:v>2293.28</x:v>
      </x:c>
      <x:c r="Y188" s="131" t="n">
        <x:f>IF(A188="","",ROUND(MAX(X188-D188,0),2))</x:f>
        <x:v>130.11</x:v>
      </x:c>
      <x:c r="Z188" s="131" t="n">
        <x:f>IF(A188="","",ROUND(SUM($V188:$V$407),2))</x:f>
        <x:v>1164.19</x:v>
      </x:c>
      <x:c r="AA188" s="131" t="n">
        <x:f>IF(A188="","",ROUND(SUM($K188:$K$407)-Z188,2))</x:f>
        <x:v>12366.3</x:v>
      </x:c>
      <x:c r="AB188" s="77"/>
      <x:c r="AC188" s="36" t="str">
        <x:f>IF(A188="","",IF(O188&gt;0,"Vencido: saldo da fatura + mora",IF(O188&lt;=0,"Vincendo: VP da parcela financeira; comissão/proteção futuras isentas","")))</x:f>
        <x:v>Vincendo: VP da parcela financeira; comissão/proteção futuras isentas</x:v>
      </x:c>
    </x:row>
    <x:row r="189">
      <x:c r="A189" s="129" t="n">
        <x:f>IF(ROW()-7&lt;=Contrato!$C$16,ROW()-7,"")</x:f>
        <x:v>182</x:v>
      </x:c>
      <x:c r="B189" s="129" t="n">
        <x:f>IF(A189="","",Contrato!$C$16)</x:f>
        <x:v>209</x:v>
      </x:c>
      <x:c r="C189" s="130" t="n">
        <x:f>IF(A189="","",IF(AB189&lt;&gt;"",AB189,IF(Contrato!$C$14="Mensal",EDATE(Contrato!$C$13,A189-1),Contrato!$C$13+(A189-1)*IF(Contrato!$C$14="Quinzenal",14,IF(Contrato!$C$14="Semanal",7,1)))))</x:f>
        <x:v>47536</x:v>
      </x:c>
      <x:c r="D189" s="131" t="n">
        <x:f>IF(A189="","",W188)</x:f>
        <x:v>2092.58</x:v>
      </x:c>
      <x:c r="E189" s="131" t="n">
        <x:f>IF(A189="","",ROUND(D189*Simulador!$I$18,2))</x:f>
        <x:v>8.25</x:v>
      </x:c>
      <x:c r="F189" s="131" t="n">
        <x:f>IF(A189="","",ROUND(MIN(D189,MAX(G189-E189,0)),2))</x:f>
        <x:v>70.87</x:v>
      </x:c>
      <x:c r="G189" s="131" t="n">
        <x:f>IF(A189="","",IF(A189&lt;Contrato!$C$16,Contrato!$C$27,Contrato!$C$28))</x:f>
        <x:v>79.12</x:v>
      </x:c>
      <x:c r="H189" s="131" t="n">
        <x:f>IF(A189="","",Contrato!$C$29)</x:f>
        <x:v>199.99</x:v>
      </x:c>
      <x:c r="I189" s="131" t="n">
        <x:f>IF(A189="","",Contrato!$C$30)</x:f>
        <x:v>187.5</x:v>
      </x:c>
      <x:c r="J189" s="131" t="n">
        <x:f>IF(A189="","",Contrato!$C$31)</x:f>
        <x:v>0</x:v>
      </x:c>
      <x:c r="K189" s="131" t="n">
        <x:f>IF(A189="","",ROUND(SUM(G189:J189),2))</x:f>
        <x:v>466.61</x:v>
      </x:c>
      <x:c r="L189" s="80"/>
      <x:c r="M189" s="77"/>
      <x:c r="N189" s="29" t="str">
        <x:f>IF(A189="","",IF(L189&gt;=K189,"Paga",IF(L189&gt;0,"Paga parcialmente",IF(C189&lt;$A$5,"Vencida","Prevista"))))</x:f>
        <x:v>Prevista</x:v>
      </x:c>
      <x:c r="O189" s="29" t="n">
        <x:f>IF(A189="","",$A$5-C189)</x:f>
        <x:v>-1276</x:v>
      </x:c>
      <x:c r="P189" s="131" t="n">
        <x:f>IF(A189="","",IF(AND(O189&gt;0,MAX(K189-L189,0)&gt;0,N189&lt;&gt;"Paga"),ROUND(MAX(K189-L189,0)*'Parâmetros'!$B$34,2),0))</x:f>
        <x:v>0</x:v>
      </x:c>
      <x:c r="Q189" s="131" t="n">
        <x:f>IF(A189="","",IF(AND(O189&gt;0,MAX(K189-L189,0)&gt;0,N189&lt;&gt;"Paga"),ROUND(MAX(K189-L189,0)*'Parâmetros'!$B$35*(O189/'Parâmetros'!$B$33),2),0))</x:f>
        <x:v>0</x:v>
      </x:c>
      <x:c r="R189" s="131" t="n">
        <x:f>IF(A189="","",IF(O189&gt;0,ROUND(MAX(K189-L189,0)+P189+Q189,2),0))</x:f>
        <x:v>0</x:v>
      </x:c>
      <x:c r="S189" s="131" t="n">
        <x:f>IF(A189="","",IF(OR(N189="Paga",O189&gt;0),0,ROUND(IF(K189=0,0,G189*MAX(K189-L189,0)/K189)/(1+'Parâmetros'!$C$13)^((C189-$A$5)/30),2)))</x:f>
        <x:v>42</x:v>
      </x:c>
      <x:c r="T189" s="131" t="n">
        <x:f>IF(A189="","",0)</x:f>
        <x:v>0</x:v>
      </x:c>
      <x:c r="U189" s="131" t="n">
        <x:f>IF(A189="","",0)</x:f>
        <x:v>0</x:v>
      </x:c>
      <x:c r="V189" s="131" t="n">
        <x:f>IF(A189="","",IF(N189="Paga",0,IF(O189&gt;0,R189,S189)))</x:f>
        <x:v>42</x:v>
      </x:c>
      <x:c r="W189" s="131" t="n">
        <x:f>IF(A189="","",ROUND(MAX(D189-F189,0),2))</x:f>
        <x:v>2021.71</x:v>
      </x:c>
      <x:c r="X189" s="131" t="n">
        <x:f>IF(A189="","",ROUND(SUM($G189:$G$407),2))</x:f>
        <x:v>2214.16</x:v>
      </x:c>
      <x:c r="Y189" s="131" t="n">
        <x:f>IF(A189="","",ROUND(MAX(X189-D189,0),2))</x:f>
        <x:v>121.58</x:v>
      </x:c>
      <x:c r="Z189" s="131" t="n">
        <x:f>IF(A189="","",ROUND(SUM($V189:$V$407),2))</x:f>
        <x:v>1122.04</x:v>
      </x:c>
      <x:c r="AA189" s="131" t="n">
        <x:f>IF(A189="","",ROUND(SUM($K189:$K$407)-Z189,2))</x:f>
        <x:v>11941.84</x:v>
      </x:c>
      <x:c r="AB189" s="77"/>
      <x:c r="AC189" s="36" t="str">
        <x:f>IF(A189="","",IF(O189&gt;0,"Vencido: saldo da fatura + mora",IF(O189&lt;=0,"Vincendo: VP da parcela financeira; comissão/proteção futuras isentas","")))</x:f>
        <x:v>Vincendo: VP da parcela financeira; comissão/proteção futuras isentas</x:v>
      </x:c>
    </x:row>
    <x:row r="190">
      <x:c r="A190" s="129" t="n">
        <x:f>IF(ROW()-7&lt;=Contrato!$C$16,ROW()-7,"")</x:f>
        <x:v>183</x:v>
      </x:c>
      <x:c r="B190" s="129" t="n">
        <x:f>IF(A190="","",Contrato!$C$16)</x:f>
        <x:v>209</x:v>
      </x:c>
      <x:c r="C190" s="130" t="n">
        <x:f>IF(A190="","",IF(AB190&lt;&gt;"",AB190,IF(Contrato!$C$14="Mensal",EDATE(Contrato!$C$13,A190-1),Contrato!$C$13+(A190-1)*IF(Contrato!$C$14="Quinzenal",14,IF(Contrato!$C$14="Semanal",7,1)))))</x:f>
        <x:v>47543</x:v>
      </x:c>
      <x:c r="D190" s="131" t="n">
        <x:f>IF(A190="","",W189)</x:f>
        <x:v>2021.71</x:v>
      </x:c>
      <x:c r="E190" s="131" t="n">
        <x:f>IF(A190="","",ROUND(D190*Simulador!$I$18,2))</x:f>
        <x:v>7.97</x:v>
      </x:c>
      <x:c r="F190" s="131" t="n">
        <x:f>IF(A190="","",ROUND(MIN(D190,MAX(G190-E190,0)),2))</x:f>
        <x:v>71.15</x:v>
      </x:c>
      <x:c r="G190" s="131" t="n">
        <x:f>IF(A190="","",IF(A190&lt;Contrato!$C$16,Contrato!$C$27,Contrato!$C$28))</x:f>
        <x:v>79.12</x:v>
      </x:c>
      <x:c r="H190" s="131" t="n">
        <x:f>IF(A190="","",Contrato!$C$29)</x:f>
        <x:v>199.99</x:v>
      </x:c>
      <x:c r="I190" s="131" t="n">
        <x:f>IF(A190="","",Contrato!$C$30)</x:f>
        <x:v>187.5</x:v>
      </x:c>
      <x:c r="J190" s="131" t="n">
        <x:f>IF(A190="","",Contrato!$C$31)</x:f>
        <x:v>0</x:v>
      </x:c>
      <x:c r="K190" s="131" t="n">
        <x:f>IF(A190="","",ROUND(SUM(G190:J190),2))</x:f>
        <x:v>466.61</x:v>
      </x:c>
      <x:c r="L190" s="80"/>
      <x:c r="M190" s="77"/>
      <x:c r="N190" s="29" t="str">
        <x:f>IF(A190="","",IF(L190&gt;=K190,"Paga",IF(L190&gt;0,"Paga parcialmente",IF(C190&lt;$A$5,"Vencida","Prevista"))))</x:f>
        <x:v>Prevista</x:v>
      </x:c>
      <x:c r="O190" s="29" t="n">
        <x:f>IF(A190="","",$A$5-C190)</x:f>
        <x:v>-1283</x:v>
      </x:c>
      <x:c r="P190" s="131" t="n">
        <x:f>IF(A190="","",IF(AND(O190&gt;0,MAX(K190-L190,0)&gt;0,N190&lt;&gt;"Paga"),ROUND(MAX(K190-L190,0)*'Parâmetros'!$B$34,2),0))</x:f>
        <x:v>0</x:v>
      </x:c>
      <x:c r="Q190" s="131" t="n">
        <x:f>IF(A190="","",IF(AND(O190&gt;0,MAX(K190-L190,0)&gt;0,N190&lt;&gt;"Paga"),ROUND(MAX(K190-L190,0)*'Parâmetros'!$B$35*(O190/'Parâmetros'!$B$33),2),0))</x:f>
        <x:v>0</x:v>
      </x:c>
      <x:c r="R190" s="131" t="n">
        <x:f>IF(A190="","",IF(O190&gt;0,ROUND(MAX(K190-L190,0)+P190+Q190,2),0))</x:f>
        <x:v>0</x:v>
      </x:c>
      <x:c r="S190" s="131" t="n">
        <x:f>IF(A190="","",IF(OR(N190="Paga",O190&gt;0),0,ROUND(IF(K190=0,0,G190*MAX(K190-L190,0)/K190)/(1+'Parâmetros'!$C$13)^((C190-$A$5)/30),2)))</x:f>
        <x:v>41.86</x:v>
      </x:c>
      <x:c r="T190" s="131" t="n">
        <x:f>IF(A190="","",0)</x:f>
        <x:v>0</x:v>
      </x:c>
      <x:c r="U190" s="131" t="n">
        <x:f>IF(A190="","",0)</x:f>
        <x:v>0</x:v>
      </x:c>
      <x:c r="V190" s="131" t="n">
        <x:f>IF(A190="","",IF(N190="Paga",0,IF(O190&gt;0,R190,S190)))</x:f>
        <x:v>41.86</x:v>
      </x:c>
      <x:c r="W190" s="131" t="n">
        <x:f>IF(A190="","",ROUND(MAX(D190-F190,0),2))</x:f>
        <x:v>1950.56</x:v>
      </x:c>
      <x:c r="X190" s="131" t="n">
        <x:f>IF(A190="","",ROUND(SUM($G190:$G$407),2))</x:f>
        <x:v>2135.04</x:v>
      </x:c>
      <x:c r="Y190" s="131" t="n">
        <x:f>IF(A190="","",ROUND(MAX(X190-D190,0),2))</x:f>
        <x:v>113.33</x:v>
      </x:c>
      <x:c r="Z190" s="131" t="n">
        <x:f>IF(A190="","",ROUND(SUM($V190:$V$407),2))</x:f>
        <x:v>1080.04</x:v>
      </x:c>
      <x:c r="AA190" s="131" t="n">
        <x:f>IF(A190="","",ROUND(SUM($K190:$K$407)-Z190,2))</x:f>
        <x:v>11517.23</x:v>
      </x:c>
      <x:c r="AB190" s="77"/>
      <x:c r="AC190" s="36" t="str">
        <x:f>IF(A190="","",IF(O190&gt;0,"Vencido: saldo da fatura + mora",IF(O190&lt;=0,"Vincendo: VP da parcela financeira; comissão/proteção futuras isentas","")))</x:f>
        <x:v>Vincendo: VP da parcela financeira; comissão/proteção futuras isentas</x:v>
      </x:c>
    </x:row>
    <x:row r="191">
      <x:c r="A191" s="129" t="n">
        <x:f>IF(ROW()-7&lt;=Contrato!$C$16,ROW()-7,"")</x:f>
        <x:v>184</x:v>
      </x:c>
      <x:c r="B191" s="129" t="n">
        <x:f>IF(A191="","",Contrato!$C$16)</x:f>
        <x:v>209</x:v>
      </x:c>
      <x:c r="C191" s="130" t="n">
        <x:f>IF(A191="","",IF(AB191&lt;&gt;"",AB191,IF(Contrato!$C$14="Mensal",EDATE(Contrato!$C$13,A191-1),Contrato!$C$13+(A191-1)*IF(Contrato!$C$14="Quinzenal",14,IF(Contrato!$C$14="Semanal",7,1)))))</x:f>
        <x:v>47550</x:v>
      </x:c>
      <x:c r="D191" s="131" t="n">
        <x:f>IF(A191="","",W190)</x:f>
        <x:v>1950.56</x:v>
      </x:c>
      <x:c r="E191" s="131" t="n">
        <x:f>IF(A191="","",ROUND(D191*Simulador!$I$18,2))</x:f>
        <x:v>7.69</x:v>
      </x:c>
      <x:c r="F191" s="131" t="n">
        <x:f>IF(A191="","",ROUND(MIN(D191,MAX(G191-E191,0)),2))</x:f>
        <x:v>71.43</x:v>
      </x:c>
      <x:c r="G191" s="131" t="n">
        <x:f>IF(A191="","",IF(A191&lt;Contrato!$C$16,Contrato!$C$27,Contrato!$C$28))</x:f>
        <x:v>79.12</x:v>
      </x:c>
      <x:c r="H191" s="131" t="n">
        <x:f>IF(A191="","",Contrato!$C$29)</x:f>
        <x:v>199.99</x:v>
      </x:c>
      <x:c r="I191" s="131" t="n">
        <x:f>IF(A191="","",Contrato!$C$30)</x:f>
        <x:v>187.5</x:v>
      </x:c>
      <x:c r="J191" s="131" t="n">
        <x:f>IF(A191="","",Contrato!$C$31)</x:f>
        <x:v>0</x:v>
      </x:c>
      <x:c r="K191" s="131" t="n">
        <x:f>IF(A191="","",ROUND(SUM(G191:J191),2))</x:f>
        <x:v>466.61</x:v>
      </x:c>
      <x:c r="L191" s="80"/>
      <x:c r="M191" s="77"/>
      <x:c r="N191" s="29" t="str">
        <x:f>IF(A191="","",IF(L191&gt;=K191,"Paga",IF(L191&gt;0,"Paga parcialmente",IF(C191&lt;$A$5,"Vencida","Prevista"))))</x:f>
        <x:v>Prevista</x:v>
      </x:c>
      <x:c r="O191" s="29" t="n">
        <x:f>IF(A191="","",$A$5-C191)</x:f>
        <x:v>-1290</x:v>
      </x:c>
      <x:c r="P191" s="131" t="n">
        <x:f>IF(A191="","",IF(AND(O191&gt;0,MAX(K191-L191,0)&gt;0,N191&lt;&gt;"Paga"),ROUND(MAX(K191-L191,0)*'Parâmetros'!$B$34,2),0))</x:f>
        <x:v>0</x:v>
      </x:c>
      <x:c r="Q191" s="131" t="n">
        <x:f>IF(A191="","",IF(AND(O191&gt;0,MAX(K191-L191,0)&gt;0,N191&lt;&gt;"Paga"),ROUND(MAX(K191-L191,0)*'Parâmetros'!$B$35*(O191/'Parâmetros'!$B$33),2),0))</x:f>
        <x:v>0</x:v>
      </x:c>
      <x:c r="R191" s="131" t="n">
        <x:f>IF(A191="","",IF(O191&gt;0,ROUND(MAX(K191-L191,0)+P191+Q191,2),0))</x:f>
        <x:v>0</x:v>
      </x:c>
      <x:c r="S191" s="131" t="n">
        <x:f>IF(A191="","",IF(OR(N191="Paga",O191&gt;0),0,ROUND(IF(K191=0,0,G191*MAX(K191-L191,0)/K191)/(1+'Parâmetros'!$C$13)^((C191-$A$5)/30),2)))</x:f>
        <x:v>41.71</x:v>
      </x:c>
      <x:c r="T191" s="131" t="n">
        <x:f>IF(A191="","",0)</x:f>
        <x:v>0</x:v>
      </x:c>
      <x:c r="U191" s="131" t="n">
        <x:f>IF(A191="","",0)</x:f>
        <x:v>0</x:v>
      </x:c>
      <x:c r="V191" s="131" t="n">
        <x:f>IF(A191="","",IF(N191="Paga",0,IF(O191&gt;0,R191,S191)))</x:f>
        <x:v>41.71</x:v>
      </x:c>
      <x:c r="W191" s="131" t="n">
        <x:f>IF(A191="","",ROUND(MAX(D191-F191,0),2))</x:f>
        <x:v>1879.13</x:v>
      </x:c>
      <x:c r="X191" s="131" t="n">
        <x:f>IF(A191="","",ROUND(SUM($G191:$G$407),2))</x:f>
        <x:v>2055.92</x:v>
      </x:c>
      <x:c r="Y191" s="131" t="n">
        <x:f>IF(A191="","",ROUND(MAX(X191-D191,0),2))</x:f>
        <x:v>105.36</x:v>
      </x:c>
      <x:c r="Z191" s="131" t="n">
        <x:f>IF(A191="","",ROUND(SUM($V191:$V$407),2))</x:f>
        <x:v>1038.18</x:v>
      </x:c>
      <x:c r="AA191" s="131" t="n">
        <x:f>IF(A191="","",ROUND(SUM($K191:$K$407)-Z191,2))</x:f>
        <x:v>11092.48</x:v>
      </x:c>
      <x:c r="AB191" s="77"/>
      <x:c r="AC191" s="36" t="str">
        <x:f>IF(A191="","",IF(O191&gt;0,"Vencido: saldo da fatura + mora",IF(O191&lt;=0,"Vincendo: VP da parcela financeira; comissão/proteção futuras isentas","")))</x:f>
        <x:v>Vincendo: VP da parcela financeira; comissão/proteção futuras isentas</x:v>
      </x:c>
    </x:row>
    <x:row r="192">
      <x:c r="A192" s="129" t="n">
        <x:f>IF(ROW()-7&lt;=Contrato!$C$16,ROW()-7,"")</x:f>
        <x:v>185</x:v>
      </x:c>
      <x:c r="B192" s="129" t="n">
        <x:f>IF(A192="","",Contrato!$C$16)</x:f>
        <x:v>209</x:v>
      </x:c>
      <x:c r="C192" s="130" t="n">
        <x:f>IF(A192="","",IF(AB192&lt;&gt;"",AB192,IF(Contrato!$C$14="Mensal",EDATE(Contrato!$C$13,A192-1),Contrato!$C$13+(A192-1)*IF(Contrato!$C$14="Quinzenal",14,IF(Contrato!$C$14="Semanal",7,1)))))</x:f>
        <x:v>47557</x:v>
      </x:c>
      <x:c r="D192" s="131" t="n">
        <x:f>IF(A192="","",W191)</x:f>
        <x:v>1879.13</x:v>
      </x:c>
      <x:c r="E192" s="131" t="n">
        <x:f>IF(A192="","",ROUND(D192*Simulador!$I$18,2))</x:f>
        <x:v>7.41</x:v>
      </x:c>
      <x:c r="F192" s="131" t="n">
        <x:f>IF(A192="","",ROUND(MIN(D192,MAX(G192-E192,0)),2))</x:f>
        <x:v>71.71</x:v>
      </x:c>
      <x:c r="G192" s="131" t="n">
        <x:f>IF(A192="","",IF(A192&lt;Contrato!$C$16,Contrato!$C$27,Contrato!$C$28))</x:f>
        <x:v>79.12</x:v>
      </x:c>
      <x:c r="H192" s="131" t="n">
        <x:f>IF(A192="","",Contrato!$C$29)</x:f>
        <x:v>199.99</x:v>
      </x:c>
      <x:c r="I192" s="131" t="n">
        <x:f>IF(A192="","",Contrato!$C$30)</x:f>
        <x:v>187.5</x:v>
      </x:c>
      <x:c r="J192" s="131" t="n">
        <x:f>IF(A192="","",Contrato!$C$31)</x:f>
        <x:v>0</x:v>
      </x:c>
      <x:c r="K192" s="131" t="n">
        <x:f>IF(A192="","",ROUND(SUM(G192:J192),2))</x:f>
        <x:v>466.61</x:v>
      </x:c>
      <x:c r="L192" s="80"/>
      <x:c r="M192" s="77"/>
      <x:c r="N192" s="29" t="str">
        <x:f>IF(A192="","",IF(L192&gt;=K192,"Paga",IF(L192&gt;0,"Paga parcialmente",IF(C192&lt;$A$5,"Vencida","Prevista"))))</x:f>
        <x:v>Prevista</x:v>
      </x:c>
      <x:c r="O192" s="29" t="n">
        <x:f>IF(A192="","",$A$5-C192)</x:f>
        <x:v>-1297</x:v>
      </x:c>
      <x:c r="P192" s="131" t="n">
        <x:f>IF(A192="","",IF(AND(O192&gt;0,MAX(K192-L192,0)&gt;0,N192&lt;&gt;"Paga"),ROUND(MAX(K192-L192,0)*'Parâmetros'!$B$34,2),0))</x:f>
        <x:v>0</x:v>
      </x:c>
      <x:c r="Q192" s="131" t="n">
        <x:f>IF(A192="","",IF(AND(O192&gt;0,MAX(K192-L192,0)&gt;0,N192&lt;&gt;"Paga"),ROUND(MAX(K192-L192,0)*'Parâmetros'!$B$35*(O192/'Parâmetros'!$B$33),2),0))</x:f>
        <x:v>0</x:v>
      </x:c>
      <x:c r="R192" s="131" t="n">
        <x:f>IF(A192="","",IF(O192&gt;0,ROUND(MAX(K192-L192,0)+P192+Q192,2),0))</x:f>
        <x:v>0</x:v>
      </x:c>
      <x:c r="S192" s="131" t="n">
        <x:f>IF(A192="","",IF(OR(N192="Paga",O192&gt;0),0,ROUND(IF(K192=0,0,G192*MAX(K192-L192,0)/K192)/(1+'Parâmetros'!$C$13)^((C192-$A$5)/30),2)))</x:f>
        <x:v>41.57</x:v>
      </x:c>
      <x:c r="T192" s="131" t="n">
        <x:f>IF(A192="","",0)</x:f>
        <x:v>0</x:v>
      </x:c>
      <x:c r="U192" s="131" t="n">
        <x:f>IF(A192="","",0)</x:f>
        <x:v>0</x:v>
      </x:c>
      <x:c r="V192" s="131" t="n">
        <x:f>IF(A192="","",IF(N192="Paga",0,IF(O192&gt;0,R192,S192)))</x:f>
        <x:v>41.57</x:v>
      </x:c>
      <x:c r="W192" s="131" t="n">
        <x:f>IF(A192="","",ROUND(MAX(D192-F192,0),2))</x:f>
        <x:v>1807.42</x:v>
      </x:c>
      <x:c r="X192" s="131" t="n">
        <x:f>IF(A192="","",ROUND(SUM($G192:$G$407),2))</x:f>
        <x:v>1976.8</x:v>
      </x:c>
      <x:c r="Y192" s="131" t="n">
        <x:f>IF(A192="","",ROUND(MAX(X192-D192,0),2))</x:f>
        <x:v>97.67</x:v>
      </x:c>
      <x:c r="Z192" s="131" t="n">
        <x:f>IF(A192="","",ROUND(SUM($V192:$V$407),2))</x:f>
        <x:v>996.47</x:v>
      </x:c>
      <x:c r="AA192" s="131" t="n">
        <x:f>IF(A192="","",ROUND(SUM($K192:$K$407)-Z192,2))</x:f>
        <x:v>10667.58</x:v>
      </x:c>
      <x:c r="AB192" s="77"/>
      <x:c r="AC192" s="36" t="str">
        <x:f>IF(A192="","",IF(O192&gt;0,"Vencido: saldo da fatura + mora",IF(O192&lt;=0,"Vincendo: VP da parcela financeira; comissão/proteção futuras isentas","")))</x:f>
        <x:v>Vincendo: VP da parcela financeira; comissão/proteção futuras isentas</x:v>
      </x:c>
    </x:row>
    <x:row r="193">
      <x:c r="A193" s="129" t="n">
        <x:f>IF(ROW()-7&lt;=Contrato!$C$16,ROW()-7,"")</x:f>
        <x:v>186</x:v>
      </x:c>
      <x:c r="B193" s="129" t="n">
        <x:f>IF(A193="","",Contrato!$C$16)</x:f>
        <x:v>209</x:v>
      </x:c>
      <x:c r="C193" s="130" t="n">
        <x:f>IF(A193="","",IF(AB193&lt;&gt;"",AB193,IF(Contrato!$C$14="Mensal",EDATE(Contrato!$C$13,A193-1),Contrato!$C$13+(A193-1)*IF(Contrato!$C$14="Quinzenal",14,IF(Contrato!$C$14="Semanal",7,1)))))</x:f>
        <x:v>47564</x:v>
      </x:c>
      <x:c r="D193" s="131" t="n">
        <x:f>IF(A193="","",W192)</x:f>
        <x:v>1807.42</x:v>
      </x:c>
      <x:c r="E193" s="131" t="n">
        <x:f>IF(A193="","",ROUND(D193*Simulador!$I$18,2))</x:f>
        <x:v>7.12</x:v>
      </x:c>
      <x:c r="F193" s="131" t="n">
        <x:f>IF(A193="","",ROUND(MIN(D193,MAX(G193-E193,0)),2))</x:f>
        <x:v>72</x:v>
      </x:c>
      <x:c r="G193" s="131" t="n">
        <x:f>IF(A193="","",IF(A193&lt;Contrato!$C$16,Contrato!$C$27,Contrato!$C$28))</x:f>
        <x:v>79.12</x:v>
      </x:c>
      <x:c r="H193" s="131" t="n">
        <x:f>IF(A193="","",Contrato!$C$29)</x:f>
        <x:v>199.99</x:v>
      </x:c>
      <x:c r="I193" s="131" t="n">
        <x:f>IF(A193="","",Contrato!$C$30)</x:f>
        <x:v>187.5</x:v>
      </x:c>
      <x:c r="J193" s="131" t="n">
        <x:f>IF(A193="","",Contrato!$C$31)</x:f>
        <x:v>0</x:v>
      </x:c>
      <x:c r="K193" s="131" t="n">
        <x:f>IF(A193="","",ROUND(SUM(G193:J193),2))</x:f>
        <x:v>466.61</x:v>
      </x:c>
      <x:c r="L193" s="80"/>
      <x:c r="M193" s="77"/>
      <x:c r="N193" s="29" t="str">
        <x:f>IF(A193="","",IF(L193&gt;=K193,"Paga",IF(L193&gt;0,"Paga parcialmente",IF(C193&lt;$A$5,"Vencida","Prevista"))))</x:f>
        <x:v>Prevista</x:v>
      </x:c>
      <x:c r="O193" s="29" t="n">
        <x:f>IF(A193="","",$A$5-C193)</x:f>
        <x:v>-1304</x:v>
      </x:c>
      <x:c r="P193" s="131" t="n">
        <x:f>IF(A193="","",IF(AND(O193&gt;0,MAX(K193-L193,0)&gt;0,N193&lt;&gt;"Paga"),ROUND(MAX(K193-L193,0)*'Parâmetros'!$B$34,2),0))</x:f>
        <x:v>0</x:v>
      </x:c>
      <x:c r="Q193" s="131" t="n">
        <x:f>IF(A193="","",IF(AND(O193&gt;0,MAX(K193-L193,0)&gt;0,N193&lt;&gt;"Paga"),ROUND(MAX(K193-L193,0)*'Parâmetros'!$B$35*(O193/'Parâmetros'!$B$33),2),0))</x:f>
        <x:v>0</x:v>
      </x:c>
      <x:c r="R193" s="131" t="n">
        <x:f>IF(A193="","",IF(O193&gt;0,ROUND(MAX(K193-L193,0)+P193+Q193,2),0))</x:f>
        <x:v>0</x:v>
      </x:c>
      <x:c r="S193" s="131" t="n">
        <x:f>IF(A193="","",IF(OR(N193="Paga",O193&gt;0),0,ROUND(IF(K193=0,0,G193*MAX(K193-L193,0)/K193)/(1+'Parâmetros'!$C$13)^((C193-$A$5)/30),2)))</x:f>
        <x:v>41.42</x:v>
      </x:c>
      <x:c r="T193" s="131" t="n">
        <x:f>IF(A193="","",0)</x:f>
        <x:v>0</x:v>
      </x:c>
      <x:c r="U193" s="131" t="n">
        <x:f>IF(A193="","",0)</x:f>
        <x:v>0</x:v>
      </x:c>
      <x:c r="V193" s="131" t="n">
        <x:f>IF(A193="","",IF(N193="Paga",0,IF(O193&gt;0,R193,S193)))</x:f>
        <x:v>41.42</x:v>
      </x:c>
      <x:c r="W193" s="131" t="n">
        <x:f>IF(A193="","",ROUND(MAX(D193-F193,0),2))</x:f>
        <x:v>1735.42</x:v>
      </x:c>
      <x:c r="X193" s="131" t="n">
        <x:f>IF(A193="","",ROUND(SUM($G193:$G$407),2))</x:f>
        <x:v>1897.68</x:v>
      </x:c>
      <x:c r="Y193" s="131" t="n">
        <x:f>IF(A193="","",ROUND(MAX(X193-D193,0),2))</x:f>
        <x:v>90.26</x:v>
      </x:c>
      <x:c r="Z193" s="131" t="n">
        <x:f>IF(A193="","",ROUND(SUM($V193:$V$407),2))</x:f>
        <x:v>954.9</x:v>
      </x:c>
      <x:c r="AA193" s="131" t="n">
        <x:f>IF(A193="","",ROUND(SUM($K193:$K$407)-Z193,2))</x:f>
        <x:v>10242.54</x:v>
      </x:c>
      <x:c r="AB193" s="77"/>
      <x:c r="AC193" s="36" t="str">
        <x:f>IF(A193="","",IF(O193&gt;0,"Vencido: saldo da fatura + mora",IF(O193&lt;=0,"Vincendo: VP da parcela financeira; comissão/proteção futuras isentas","")))</x:f>
        <x:v>Vincendo: VP da parcela financeira; comissão/proteção futuras isentas</x:v>
      </x:c>
    </x:row>
    <x:row r="194">
      <x:c r="A194" s="129" t="n">
        <x:f>IF(ROW()-7&lt;=Contrato!$C$16,ROW()-7,"")</x:f>
        <x:v>187</x:v>
      </x:c>
      <x:c r="B194" s="129" t="n">
        <x:f>IF(A194="","",Contrato!$C$16)</x:f>
        <x:v>209</x:v>
      </x:c>
      <x:c r="C194" s="130" t="n">
        <x:f>IF(A194="","",IF(AB194&lt;&gt;"",AB194,IF(Contrato!$C$14="Mensal",EDATE(Contrato!$C$13,A194-1),Contrato!$C$13+(A194-1)*IF(Contrato!$C$14="Quinzenal",14,IF(Contrato!$C$14="Semanal",7,1)))))</x:f>
        <x:v>47571</x:v>
      </x:c>
      <x:c r="D194" s="131" t="n">
        <x:f>IF(A194="","",W193)</x:f>
        <x:v>1735.42</x:v>
      </x:c>
      <x:c r="E194" s="131" t="n">
        <x:f>IF(A194="","",ROUND(D194*Simulador!$I$18,2))</x:f>
        <x:v>6.84</x:v>
      </x:c>
      <x:c r="F194" s="131" t="n">
        <x:f>IF(A194="","",ROUND(MIN(D194,MAX(G194-E194,0)),2))</x:f>
        <x:v>72.28</x:v>
      </x:c>
      <x:c r="G194" s="131" t="n">
        <x:f>IF(A194="","",IF(A194&lt;Contrato!$C$16,Contrato!$C$27,Contrato!$C$28))</x:f>
        <x:v>79.12</x:v>
      </x:c>
      <x:c r="H194" s="131" t="n">
        <x:f>IF(A194="","",Contrato!$C$29)</x:f>
        <x:v>199.99</x:v>
      </x:c>
      <x:c r="I194" s="131" t="n">
        <x:f>IF(A194="","",Contrato!$C$30)</x:f>
        <x:v>187.5</x:v>
      </x:c>
      <x:c r="J194" s="131" t="n">
        <x:f>IF(A194="","",Contrato!$C$31)</x:f>
        <x:v>0</x:v>
      </x:c>
      <x:c r="K194" s="131" t="n">
        <x:f>IF(A194="","",ROUND(SUM(G194:J194),2))</x:f>
        <x:v>466.61</x:v>
      </x:c>
      <x:c r="L194" s="80"/>
      <x:c r="M194" s="77"/>
      <x:c r="N194" s="29" t="str">
        <x:f>IF(A194="","",IF(L194&gt;=K194,"Paga",IF(L194&gt;0,"Paga parcialmente",IF(C194&lt;$A$5,"Vencida","Prevista"))))</x:f>
        <x:v>Prevista</x:v>
      </x:c>
      <x:c r="O194" s="29" t="n">
        <x:f>IF(A194="","",$A$5-C194)</x:f>
        <x:v>-1311</x:v>
      </x:c>
      <x:c r="P194" s="131" t="n">
        <x:f>IF(A194="","",IF(AND(O194&gt;0,MAX(K194-L194,0)&gt;0,N194&lt;&gt;"Paga"),ROUND(MAX(K194-L194,0)*'Parâmetros'!$B$34,2),0))</x:f>
        <x:v>0</x:v>
      </x:c>
      <x:c r="Q194" s="131" t="n">
        <x:f>IF(A194="","",IF(AND(O194&gt;0,MAX(K194-L194,0)&gt;0,N194&lt;&gt;"Paga"),ROUND(MAX(K194-L194,0)*'Parâmetros'!$B$35*(O194/'Parâmetros'!$B$33),2),0))</x:f>
        <x:v>0</x:v>
      </x:c>
      <x:c r="R194" s="131" t="n">
        <x:f>IF(A194="","",IF(O194&gt;0,ROUND(MAX(K194-L194,0)+P194+Q194,2),0))</x:f>
        <x:v>0</x:v>
      </x:c>
      <x:c r="S194" s="131" t="n">
        <x:f>IF(A194="","",IF(OR(N194="Paga",O194&gt;0),0,ROUND(IF(K194=0,0,G194*MAX(K194-L194,0)/K194)/(1+'Parâmetros'!$C$13)^((C194-$A$5)/30),2)))</x:f>
        <x:v>41.28</x:v>
      </x:c>
      <x:c r="T194" s="131" t="n">
        <x:f>IF(A194="","",0)</x:f>
        <x:v>0</x:v>
      </x:c>
      <x:c r="U194" s="131" t="n">
        <x:f>IF(A194="","",0)</x:f>
        <x:v>0</x:v>
      </x:c>
      <x:c r="V194" s="131" t="n">
        <x:f>IF(A194="","",IF(N194="Paga",0,IF(O194&gt;0,R194,S194)))</x:f>
        <x:v>41.28</x:v>
      </x:c>
      <x:c r="W194" s="131" t="n">
        <x:f>IF(A194="","",ROUND(MAX(D194-F194,0),2))</x:f>
        <x:v>1663.14</x:v>
      </x:c>
      <x:c r="X194" s="131" t="n">
        <x:f>IF(A194="","",ROUND(SUM($G194:$G$407),2))</x:f>
        <x:v>1818.56</x:v>
      </x:c>
      <x:c r="Y194" s="131" t="n">
        <x:f>IF(A194="","",ROUND(MAX(X194-D194,0),2))</x:f>
        <x:v>83.14</x:v>
      </x:c>
      <x:c r="Z194" s="131" t="n">
        <x:f>IF(A194="","",ROUND(SUM($V194:$V$407),2))</x:f>
        <x:v>913.48</x:v>
      </x:c>
      <x:c r="AA194" s="131" t="n">
        <x:f>IF(A194="","",ROUND(SUM($K194:$K$407)-Z194,2))</x:f>
        <x:v>9817.35</x:v>
      </x:c>
      <x:c r="AB194" s="77"/>
      <x:c r="AC194" s="36" t="str">
        <x:f>IF(A194="","",IF(O194&gt;0,"Vencido: saldo da fatura + mora",IF(O194&lt;=0,"Vincendo: VP da parcela financeira; comissão/proteção futuras isentas","")))</x:f>
        <x:v>Vincendo: VP da parcela financeira; comissão/proteção futuras isentas</x:v>
      </x:c>
    </x:row>
    <x:row r="195">
      <x:c r="A195" s="129" t="n">
        <x:f>IF(ROW()-7&lt;=Contrato!$C$16,ROW()-7,"")</x:f>
        <x:v>188</x:v>
      </x:c>
      <x:c r="B195" s="129" t="n">
        <x:f>IF(A195="","",Contrato!$C$16)</x:f>
        <x:v>209</x:v>
      </x:c>
      <x:c r="C195" s="130" t="n">
        <x:f>IF(A195="","",IF(AB195&lt;&gt;"",AB195,IF(Contrato!$C$14="Mensal",EDATE(Contrato!$C$13,A195-1),Contrato!$C$13+(A195-1)*IF(Contrato!$C$14="Quinzenal",14,IF(Contrato!$C$14="Semanal",7,1)))))</x:f>
        <x:v>47578</x:v>
      </x:c>
      <x:c r="D195" s="131" t="n">
        <x:f>IF(A195="","",W194)</x:f>
        <x:v>1663.14</x:v>
      </x:c>
      <x:c r="E195" s="131" t="n">
        <x:f>IF(A195="","",ROUND(D195*Simulador!$I$18,2))</x:f>
        <x:v>6.55</x:v>
      </x:c>
      <x:c r="F195" s="131" t="n">
        <x:f>IF(A195="","",ROUND(MIN(D195,MAX(G195-E195,0)),2))</x:f>
        <x:v>72.57</x:v>
      </x:c>
      <x:c r="G195" s="131" t="n">
        <x:f>IF(A195="","",IF(A195&lt;Contrato!$C$16,Contrato!$C$27,Contrato!$C$28))</x:f>
        <x:v>79.12</x:v>
      </x:c>
      <x:c r="H195" s="131" t="n">
        <x:f>IF(A195="","",Contrato!$C$29)</x:f>
        <x:v>199.99</x:v>
      </x:c>
      <x:c r="I195" s="131" t="n">
        <x:f>IF(A195="","",Contrato!$C$30)</x:f>
        <x:v>187.5</x:v>
      </x:c>
      <x:c r="J195" s="131" t="n">
        <x:f>IF(A195="","",Contrato!$C$31)</x:f>
        <x:v>0</x:v>
      </x:c>
      <x:c r="K195" s="131" t="n">
        <x:f>IF(A195="","",ROUND(SUM(G195:J195),2))</x:f>
        <x:v>466.61</x:v>
      </x:c>
      <x:c r="L195" s="80"/>
      <x:c r="M195" s="77"/>
      <x:c r="N195" s="29" t="str">
        <x:f>IF(A195="","",IF(L195&gt;=K195,"Paga",IF(L195&gt;0,"Paga parcialmente",IF(C195&lt;$A$5,"Vencida","Prevista"))))</x:f>
        <x:v>Prevista</x:v>
      </x:c>
      <x:c r="O195" s="29" t="n">
        <x:f>IF(A195="","",$A$5-C195)</x:f>
        <x:v>-1318</x:v>
      </x:c>
      <x:c r="P195" s="131" t="n">
        <x:f>IF(A195="","",IF(AND(O195&gt;0,MAX(K195-L195,0)&gt;0,N195&lt;&gt;"Paga"),ROUND(MAX(K195-L195,0)*'Parâmetros'!$B$34,2),0))</x:f>
        <x:v>0</x:v>
      </x:c>
      <x:c r="Q195" s="131" t="n">
        <x:f>IF(A195="","",IF(AND(O195&gt;0,MAX(K195-L195,0)&gt;0,N195&lt;&gt;"Paga"),ROUND(MAX(K195-L195,0)*'Parâmetros'!$B$35*(O195/'Parâmetros'!$B$33),2),0))</x:f>
        <x:v>0</x:v>
      </x:c>
      <x:c r="R195" s="131" t="n">
        <x:f>IF(A195="","",IF(O195&gt;0,ROUND(MAX(K195-L195,0)+P195+Q195,2),0))</x:f>
        <x:v>0</x:v>
      </x:c>
      <x:c r="S195" s="131" t="n">
        <x:f>IF(A195="","",IF(OR(N195="Paga",O195&gt;0),0,ROUND(IF(K195=0,0,G195*MAX(K195-L195,0)/K195)/(1+'Parâmetros'!$C$13)^((C195-$A$5)/30),2)))</x:f>
        <x:v>41.13</x:v>
      </x:c>
      <x:c r="T195" s="131" t="n">
        <x:f>IF(A195="","",0)</x:f>
        <x:v>0</x:v>
      </x:c>
      <x:c r="U195" s="131" t="n">
        <x:f>IF(A195="","",0)</x:f>
        <x:v>0</x:v>
      </x:c>
      <x:c r="V195" s="131" t="n">
        <x:f>IF(A195="","",IF(N195="Paga",0,IF(O195&gt;0,R195,S195)))</x:f>
        <x:v>41.13</x:v>
      </x:c>
      <x:c r="W195" s="131" t="n">
        <x:f>IF(A195="","",ROUND(MAX(D195-F195,0),2))</x:f>
        <x:v>1590.57</x:v>
      </x:c>
      <x:c r="X195" s="131" t="n">
        <x:f>IF(A195="","",ROUND(SUM($G195:$G$407),2))</x:f>
        <x:v>1739.44</x:v>
      </x:c>
      <x:c r="Y195" s="131" t="n">
        <x:f>IF(A195="","",ROUND(MAX(X195-D195,0),2))</x:f>
        <x:v>76.3</x:v>
      </x:c>
      <x:c r="Z195" s="131" t="n">
        <x:f>IF(A195="","",ROUND(SUM($V195:$V$407),2))</x:f>
        <x:v>872.2</x:v>
      </x:c>
      <x:c r="AA195" s="131" t="n">
        <x:f>IF(A195="","",ROUND(SUM($K195:$K$407)-Z195,2))</x:f>
        <x:v>9392.02</x:v>
      </x:c>
      <x:c r="AB195" s="77"/>
      <x:c r="AC195" s="36" t="str">
        <x:f>IF(A195="","",IF(O195&gt;0,"Vencido: saldo da fatura + mora",IF(O195&lt;=0,"Vincendo: VP da parcela financeira; comissão/proteção futuras isentas","")))</x:f>
        <x:v>Vincendo: VP da parcela financeira; comissão/proteção futuras isentas</x:v>
      </x:c>
    </x:row>
    <x:row r="196">
      <x:c r="A196" s="129" t="n">
        <x:f>IF(ROW()-7&lt;=Contrato!$C$16,ROW()-7,"")</x:f>
        <x:v>189</x:v>
      </x:c>
      <x:c r="B196" s="129" t="n">
        <x:f>IF(A196="","",Contrato!$C$16)</x:f>
        <x:v>209</x:v>
      </x:c>
      <x:c r="C196" s="130" t="n">
        <x:f>IF(A196="","",IF(AB196&lt;&gt;"",AB196,IF(Contrato!$C$14="Mensal",EDATE(Contrato!$C$13,A196-1),Contrato!$C$13+(A196-1)*IF(Contrato!$C$14="Quinzenal",14,IF(Contrato!$C$14="Semanal",7,1)))))</x:f>
        <x:v>47585</x:v>
      </x:c>
      <x:c r="D196" s="131" t="n">
        <x:f>IF(A196="","",W195)</x:f>
        <x:v>1590.57</x:v>
      </x:c>
      <x:c r="E196" s="131" t="n">
        <x:f>IF(A196="","",ROUND(D196*Simulador!$I$18,2))</x:f>
        <x:v>6.27</x:v>
      </x:c>
      <x:c r="F196" s="131" t="n">
        <x:f>IF(A196="","",ROUND(MIN(D196,MAX(G196-E196,0)),2))</x:f>
        <x:v>72.85</x:v>
      </x:c>
      <x:c r="G196" s="131" t="n">
        <x:f>IF(A196="","",IF(A196&lt;Contrato!$C$16,Contrato!$C$27,Contrato!$C$28))</x:f>
        <x:v>79.12</x:v>
      </x:c>
      <x:c r="H196" s="131" t="n">
        <x:f>IF(A196="","",Contrato!$C$29)</x:f>
        <x:v>199.99</x:v>
      </x:c>
      <x:c r="I196" s="131" t="n">
        <x:f>IF(A196="","",Contrato!$C$30)</x:f>
        <x:v>187.5</x:v>
      </x:c>
      <x:c r="J196" s="131" t="n">
        <x:f>IF(A196="","",Contrato!$C$31)</x:f>
        <x:v>0</x:v>
      </x:c>
      <x:c r="K196" s="131" t="n">
        <x:f>IF(A196="","",ROUND(SUM(G196:J196),2))</x:f>
        <x:v>466.61</x:v>
      </x:c>
      <x:c r="L196" s="80"/>
      <x:c r="M196" s="77"/>
      <x:c r="N196" s="29" t="str">
        <x:f>IF(A196="","",IF(L196&gt;=K196,"Paga",IF(L196&gt;0,"Paga parcialmente",IF(C196&lt;$A$5,"Vencida","Prevista"))))</x:f>
        <x:v>Prevista</x:v>
      </x:c>
      <x:c r="O196" s="29" t="n">
        <x:f>IF(A196="","",$A$5-C196)</x:f>
        <x:v>-1325</x:v>
      </x:c>
      <x:c r="P196" s="131" t="n">
        <x:f>IF(A196="","",IF(AND(O196&gt;0,MAX(K196-L196,0)&gt;0,N196&lt;&gt;"Paga"),ROUND(MAX(K196-L196,0)*'Parâmetros'!$B$34,2),0))</x:f>
        <x:v>0</x:v>
      </x:c>
      <x:c r="Q196" s="131" t="n">
        <x:f>IF(A196="","",IF(AND(O196&gt;0,MAX(K196-L196,0)&gt;0,N196&lt;&gt;"Paga"),ROUND(MAX(K196-L196,0)*'Parâmetros'!$B$35*(O196/'Parâmetros'!$B$33),2),0))</x:f>
        <x:v>0</x:v>
      </x:c>
      <x:c r="R196" s="131" t="n">
        <x:f>IF(A196="","",IF(O196&gt;0,ROUND(MAX(K196-L196,0)+P196+Q196,2),0))</x:f>
        <x:v>0</x:v>
      </x:c>
      <x:c r="S196" s="131" t="n">
        <x:f>IF(A196="","",IF(OR(N196="Paga",O196&gt;0),0,ROUND(IF(K196=0,0,G196*MAX(K196-L196,0)/K196)/(1+'Parâmetros'!$C$13)^((C196-$A$5)/30),2)))</x:f>
        <x:v>40.99</x:v>
      </x:c>
      <x:c r="T196" s="131" t="n">
        <x:f>IF(A196="","",0)</x:f>
        <x:v>0</x:v>
      </x:c>
      <x:c r="U196" s="131" t="n">
        <x:f>IF(A196="","",0)</x:f>
        <x:v>0</x:v>
      </x:c>
      <x:c r="V196" s="131" t="n">
        <x:f>IF(A196="","",IF(N196="Paga",0,IF(O196&gt;0,R196,S196)))</x:f>
        <x:v>40.99</x:v>
      </x:c>
      <x:c r="W196" s="131" t="n">
        <x:f>IF(A196="","",ROUND(MAX(D196-F196,0),2))</x:f>
        <x:v>1517.72</x:v>
      </x:c>
      <x:c r="X196" s="131" t="n">
        <x:f>IF(A196="","",ROUND(SUM($G196:$G$407),2))</x:f>
        <x:v>1660.32</x:v>
      </x:c>
      <x:c r="Y196" s="131" t="n">
        <x:f>IF(A196="","",ROUND(MAX(X196-D196,0),2))</x:f>
        <x:v>69.75</x:v>
      </x:c>
      <x:c r="Z196" s="131" t="n">
        <x:f>IF(A196="","",ROUND(SUM($V196:$V$407),2))</x:f>
        <x:v>831.07</x:v>
      </x:c>
      <x:c r="AA196" s="131" t="n">
        <x:f>IF(A196="","",ROUND(SUM($K196:$K$407)-Z196,2))</x:f>
        <x:v>8966.54</x:v>
      </x:c>
      <x:c r="AB196" s="77"/>
      <x:c r="AC196" s="36" t="str">
        <x:f>IF(A196="","",IF(O196&gt;0,"Vencido: saldo da fatura + mora",IF(O196&lt;=0,"Vincendo: VP da parcela financeira; comissão/proteção futuras isentas","")))</x:f>
        <x:v>Vincendo: VP da parcela financeira; comissão/proteção futuras isentas</x:v>
      </x:c>
    </x:row>
    <x:row r="197">
      <x:c r="A197" s="129" t="n">
        <x:f>IF(ROW()-7&lt;=Contrato!$C$16,ROW()-7,"")</x:f>
        <x:v>190</x:v>
      </x:c>
      <x:c r="B197" s="129" t="n">
        <x:f>IF(A197="","",Contrato!$C$16)</x:f>
        <x:v>209</x:v>
      </x:c>
      <x:c r="C197" s="130" t="n">
        <x:f>IF(A197="","",IF(AB197&lt;&gt;"",AB197,IF(Contrato!$C$14="Mensal",EDATE(Contrato!$C$13,A197-1),Contrato!$C$13+(A197-1)*IF(Contrato!$C$14="Quinzenal",14,IF(Contrato!$C$14="Semanal",7,1)))))</x:f>
        <x:v>47592</x:v>
      </x:c>
      <x:c r="D197" s="131" t="n">
        <x:f>IF(A197="","",W196)</x:f>
        <x:v>1517.72</x:v>
      </x:c>
      <x:c r="E197" s="131" t="n">
        <x:f>IF(A197="","",ROUND(D197*Simulador!$I$18,2))</x:f>
        <x:v>5.98</x:v>
      </x:c>
      <x:c r="F197" s="131" t="n">
        <x:f>IF(A197="","",ROUND(MIN(D197,MAX(G197-E197,0)),2))</x:f>
        <x:v>73.14</x:v>
      </x:c>
      <x:c r="G197" s="131" t="n">
        <x:f>IF(A197="","",IF(A197&lt;Contrato!$C$16,Contrato!$C$27,Contrato!$C$28))</x:f>
        <x:v>79.12</x:v>
      </x:c>
      <x:c r="H197" s="131" t="n">
        <x:f>IF(A197="","",Contrato!$C$29)</x:f>
        <x:v>199.99</x:v>
      </x:c>
      <x:c r="I197" s="131" t="n">
        <x:f>IF(A197="","",Contrato!$C$30)</x:f>
        <x:v>187.5</x:v>
      </x:c>
      <x:c r="J197" s="131" t="n">
        <x:f>IF(A197="","",Contrato!$C$31)</x:f>
        <x:v>0</x:v>
      </x:c>
      <x:c r="K197" s="131" t="n">
        <x:f>IF(A197="","",ROUND(SUM(G197:J197),2))</x:f>
        <x:v>466.61</x:v>
      </x:c>
      <x:c r="L197" s="80"/>
      <x:c r="M197" s="77"/>
      <x:c r="N197" s="29" t="str">
        <x:f>IF(A197="","",IF(L197&gt;=K197,"Paga",IF(L197&gt;0,"Paga parcialmente",IF(C197&lt;$A$5,"Vencida","Prevista"))))</x:f>
        <x:v>Prevista</x:v>
      </x:c>
      <x:c r="O197" s="29" t="n">
        <x:f>IF(A197="","",$A$5-C197)</x:f>
        <x:v>-1332</x:v>
      </x:c>
      <x:c r="P197" s="131" t="n">
        <x:f>IF(A197="","",IF(AND(O197&gt;0,MAX(K197-L197,0)&gt;0,N197&lt;&gt;"Paga"),ROUND(MAX(K197-L197,0)*'Parâmetros'!$B$34,2),0))</x:f>
        <x:v>0</x:v>
      </x:c>
      <x:c r="Q197" s="131" t="n">
        <x:f>IF(A197="","",IF(AND(O197&gt;0,MAX(K197-L197,0)&gt;0,N197&lt;&gt;"Paga"),ROUND(MAX(K197-L197,0)*'Parâmetros'!$B$35*(O197/'Parâmetros'!$B$33),2),0))</x:f>
        <x:v>0</x:v>
      </x:c>
      <x:c r="R197" s="131" t="n">
        <x:f>IF(A197="","",IF(O197&gt;0,ROUND(MAX(K197-L197,0)+P197+Q197,2),0))</x:f>
        <x:v>0</x:v>
      </x:c>
      <x:c r="S197" s="131" t="n">
        <x:f>IF(A197="","",IF(OR(N197="Paga",O197&gt;0),0,ROUND(IF(K197=0,0,G197*MAX(K197-L197,0)/K197)/(1+'Parâmetros'!$C$13)^((C197-$A$5)/30),2)))</x:f>
        <x:v>40.85</x:v>
      </x:c>
      <x:c r="T197" s="131" t="n">
        <x:f>IF(A197="","",0)</x:f>
        <x:v>0</x:v>
      </x:c>
      <x:c r="U197" s="131" t="n">
        <x:f>IF(A197="","",0)</x:f>
        <x:v>0</x:v>
      </x:c>
      <x:c r="V197" s="131" t="n">
        <x:f>IF(A197="","",IF(N197="Paga",0,IF(O197&gt;0,R197,S197)))</x:f>
        <x:v>40.85</x:v>
      </x:c>
      <x:c r="W197" s="131" t="n">
        <x:f>IF(A197="","",ROUND(MAX(D197-F197,0),2))</x:f>
        <x:v>1444.58</x:v>
      </x:c>
      <x:c r="X197" s="131" t="n">
        <x:f>IF(A197="","",ROUND(SUM($G197:$G$407),2))</x:f>
        <x:v>1581.2</x:v>
      </x:c>
      <x:c r="Y197" s="131" t="n">
        <x:f>IF(A197="","",ROUND(MAX(X197-D197,0),2))</x:f>
        <x:v>63.48</x:v>
      </x:c>
      <x:c r="Z197" s="131" t="n">
        <x:f>IF(A197="","",ROUND(SUM($V197:$V$407),2))</x:f>
        <x:v>790.08</x:v>
      </x:c>
      <x:c r="AA197" s="131" t="n">
        <x:f>IF(A197="","",ROUND(SUM($K197:$K$407)-Z197,2))</x:f>
        <x:v>8540.92</x:v>
      </x:c>
      <x:c r="AB197" s="77"/>
      <x:c r="AC197" s="36" t="str">
        <x:f>IF(A197="","",IF(O197&gt;0,"Vencido: saldo da fatura + mora",IF(O197&lt;=0,"Vincendo: VP da parcela financeira; comissão/proteção futuras isentas","")))</x:f>
        <x:v>Vincendo: VP da parcela financeira; comissão/proteção futuras isentas</x:v>
      </x:c>
    </x:row>
    <x:row r="198">
      <x:c r="A198" s="129" t="n">
        <x:f>IF(ROW()-7&lt;=Contrato!$C$16,ROW()-7,"")</x:f>
        <x:v>191</x:v>
      </x:c>
      <x:c r="B198" s="129" t="n">
        <x:f>IF(A198="","",Contrato!$C$16)</x:f>
        <x:v>209</x:v>
      </x:c>
      <x:c r="C198" s="130" t="n">
        <x:f>IF(A198="","",IF(AB198&lt;&gt;"",AB198,IF(Contrato!$C$14="Mensal",EDATE(Contrato!$C$13,A198-1),Contrato!$C$13+(A198-1)*IF(Contrato!$C$14="Quinzenal",14,IF(Contrato!$C$14="Semanal",7,1)))))</x:f>
        <x:v>47599</x:v>
      </x:c>
      <x:c r="D198" s="131" t="n">
        <x:f>IF(A198="","",W197)</x:f>
        <x:v>1444.58</x:v>
      </x:c>
      <x:c r="E198" s="131" t="n">
        <x:f>IF(A198="","",ROUND(D198*Simulador!$I$18,2))</x:f>
        <x:v>5.69</x:v>
      </x:c>
      <x:c r="F198" s="131" t="n">
        <x:f>IF(A198="","",ROUND(MIN(D198,MAX(G198-E198,0)),2))</x:f>
        <x:v>73.43</x:v>
      </x:c>
      <x:c r="G198" s="131" t="n">
        <x:f>IF(A198="","",IF(A198&lt;Contrato!$C$16,Contrato!$C$27,Contrato!$C$28))</x:f>
        <x:v>79.12</x:v>
      </x:c>
      <x:c r="H198" s="131" t="n">
        <x:f>IF(A198="","",Contrato!$C$29)</x:f>
        <x:v>199.99</x:v>
      </x:c>
      <x:c r="I198" s="131" t="n">
        <x:f>IF(A198="","",Contrato!$C$30)</x:f>
        <x:v>187.5</x:v>
      </x:c>
      <x:c r="J198" s="131" t="n">
        <x:f>IF(A198="","",Contrato!$C$31)</x:f>
        <x:v>0</x:v>
      </x:c>
      <x:c r="K198" s="131" t="n">
        <x:f>IF(A198="","",ROUND(SUM(G198:J198),2))</x:f>
        <x:v>466.61</x:v>
      </x:c>
      <x:c r="L198" s="80"/>
      <x:c r="M198" s="77"/>
      <x:c r="N198" s="29" t="str">
        <x:f>IF(A198="","",IF(L198&gt;=K198,"Paga",IF(L198&gt;0,"Paga parcialmente",IF(C198&lt;$A$5,"Vencida","Prevista"))))</x:f>
        <x:v>Prevista</x:v>
      </x:c>
      <x:c r="O198" s="29" t="n">
        <x:f>IF(A198="","",$A$5-C198)</x:f>
        <x:v>-1339</x:v>
      </x:c>
      <x:c r="P198" s="131" t="n">
        <x:f>IF(A198="","",IF(AND(O198&gt;0,MAX(K198-L198,0)&gt;0,N198&lt;&gt;"Paga"),ROUND(MAX(K198-L198,0)*'Parâmetros'!$B$34,2),0))</x:f>
        <x:v>0</x:v>
      </x:c>
      <x:c r="Q198" s="131" t="n">
        <x:f>IF(A198="","",IF(AND(O198&gt;0,MAX(K198-L198,0)&gt;0,N198&lt;&gt;"Paga"),ROUND(MAX(K198-L198,0)*'Parâmetros'!$B$35*(O198/'Parâmetros'!$B$33),2),0))</x:f>
        <x:v>0</x:v>
      </x:c>
      <x:c r="R198" s="131" t="n">
        <x:f>IF(A198="","",IF(O198&gt;0,ROUND(MAX(K198-L198,0)+P198+Q198,2),0))</x:f>
        <x:v>0</x:v>
      </x:c>
      <x:c r="S198" s="131" t="n">
        <x:f>IF(A198="","",IF(OR(N198="Paga",O198&gt;0),0,ROUND(IF(K198=0,0,G198*MAX(K198-L198,0)/K198)/(1+'Parâmetros'!$C$13)^((C198-$A$5)/30),2)))</x:f>
        <x:v>40.71</x:v>
      </x:c>
      <x:c r="T198" s="131" t="n">
        <x:f>IF(A198="","",0)</x:f>
        <x:v>0</x:v>
      </x:c>
      <x:c r="U198" s="131" t="n">
        <x:f>IF(A198="","",0)</x:f>
        <x:v>0</x:v>
      </x:c>
      <x:c r="V198" s="131" t="n">
        <x:f>IF(A198="","",IF(N198="Paga",0,IF(O198&gt;0,R198,S198)))</x:f>
        <x:v>40.71</x:v>
      </x:c>
      <x:c r="W198" s="131" t="n">
        <x:f>IF(A198="","",ROUND(MAX(D198-F198,0),2))</x:f>
        <x:v>1371.15</x:v>
      </x:c>
      <x:c r="X198" s="131" t="n">
        <x:f>IF(A198="","",ROUND(SUM($G198:$G$407),2))</x:f>
        <x:v>1502.08</x:v>
      </x:c>
      <x:c r="Y198" s="131" t="n">
        <x:f>IF(A198="","",ROUND(MAX(X198-D198,0),2))</x:f>
        <x:v>57.5</x:v>
      </x:c>
      <x:c r="Z198" s="131" t="n">
        <x:f>IF(A198="","",ROUND(SUM($V198:$V$407),2))</x:f>
        <x:v>749.23</x:v>
      </x:c>
      <x:c r="AA198" s="131" t="n">
        <x:f>IF(A198="","",ROUND(SUM($K198:$K$407)-Z198,2))</x:f>
        <x:v>8115.16</x:v>
      </x:c>
      <x:c r="AB198" s="77"/>
      <x:c r="AC198" s="36" t="str">
        <x:f>IF(A198="","",IF(O198&gt;0,"Vencido: saldo da fatura + mora",IF(O198&lt;=0,"Vincendo: VP da parcela financeira; comissão/proteção futuras isentas","")))</x:f>
        <x:v>Vincendo: VP da parcela financeira; comissão/proteção futuras isentas</x:v>
      </x:c>
    </x:row>
    <x:row r="199">
      <x:c r="A199" s="129" t="n">
        <x:f>IF(ROW()-7&lt;=Contrato!$C$16,ROW()-7,"")</x:f>
        <x:v>192</x:v>
      </x:c>
      <x:c r="B199" s="129" t="n">
        <x:f>IF(A199="","",Contrato!$C$16)</x:f>
        <x:v>209</x:v>
      </x:c>
      <x:c r="C199" s="130" t="n">
        <x:f>IF(A199="","",IF(AB199&lt;&gt;"",AB199,IF(Contrato!$C$14="Mensal",EDATE(Contrato!$C$13,A199-1),Contrato!$C$13+(A199-1)*IF(Contrato!$C$14="Quinzenal",14,IF(Contrato!$C$14="Semanal",7,1)))))</x:f>
        <x:v>47606</x:v>
      </x:c>
      <x:c r="D199" s="131" t="n">
        <x:f>IF(A199="","",W198)</x:f>
        <x:v>1371.15</x:v>
      </x:c>
      <x:c r="E199" s="131" t="n">
        <x:f>IF(A199="","",ROUND(D199*Simulador!$I$18,2))</x:f>
        <x:v>5.4</x:v>
      </x:c>
      <x:c r="F199" s="131" t="n">
        <x:f>IF(A199="","",ROUND(MIN(D199,MAX(G199-E199,0)),2))</x:f>
        <x:v>73.72</x:v>
      </x:c>
      <x:c r="G199" s="131" t="n">
        <x:f>IF(A199="","",IF(A199&lt;Contrato!$C$16,Contrato!$C$27,Contrato!$C$28))</x:f>
        <x:v>79.12</x:v>
      </x:c>
      <x:c r="H199" s="131" t="n">
        <x:f>IF(A199="","",Contrato!$C$29)</x:f>
        <x:v>199.99</x:v>
      </x:c>
      <x:c r="I199" s="131" t="n">
        <x:f>IF(A199="","",Contrato!$C$30)</x:f>
        <x:v>187.5</x:v>
      </x:c>
      <x:c r="J199" s="131" t="n">
        <x:f>IF(A199="","",Contrato!$C$31)</x:f>
        <x:v>0</x:v>
      </x:c>
      <x:c r="K199" s="131" t="n">
        <x:f>IF(A199="","",ROUND(SUM(G199:J199),2))</x:f>
        <x:v>466.61</x:v>
      </x:c>
      <x:c r="L199" s="80"/>
      <x:c r="M199" s="77"/>
      <x:c r="N199" s="29" t="str">
        <x:f>IF(A199="","",IF(L199&gt;=K199,"Paga",IF(L199&gt;0,"Paga parcialmente",IF(C199&lt;$A$5,"Vencida","Prevista"))))</x:f>
        <x:v>Prevista</x:v>
      </x:c>
      <x:c r="O199" s="29" t="n">
        <x:f>IF(A199="","",$A$5-C199)</x:f>
        <x:v>-1346</x:v>
      </x:c>
      <x:c r="P199" s="131" t="n">
        <x:f>IF(A199="","",IF(AND(O199&gt;0,MAX(K199-L199,0)&gt;0,N199&lt;&gt;"Paga"),ROUND(MAX(K199-L199,0)*'Parâmetros'!$B$34,2),0))</x:f>
        <x:v>0</x:v>
      </x:c>
      <x:c r="Q199" s="131" t="n">
        <x:f>IF(A199="","",IF(AND(O199&gt;0,MAX(K199-L199,0)&gt;0,N199&lt;&gt;"Paga"),ROUND(MAX(K199-L199,0)*'Parâmetros'!$B$35*(O199/'Parâmetros'!$B$33),2),0))</x:f>
        <x:v>0</x:v>
      </x:c>
      <x:c r="R199" s="131" t="n">
        <x:f>IF(A199="","",IF(O199&gt;0,ROUND(MAX(K199-L199,0)+P199+Q199,2),0))</x:f>
        <x:v>0</x:v>
      </x:c>
      <x:c r="S199" s="131" t="n">
        <x:f>IF(A199="","",IF(OR(N199="Paga",O199&gt;0),0,ROUND(IF(K199=0,0,G199*MAX(K199-L199,0)/K199)/(1+'Parâmetros'!$C$13)^((C199-$A$5)/30),2)))</x:f>
        <x:v>40.57</x:v>
      </x:c>
      <x:c r="T199" s="131" t="n">
        <x:f>IF(A199="","",0)</x:f>
        <x:v>0</x:v>
      </x:c>
      <x:c r="U199" s="131" t="n">
        <x:f>IF(A199="","",0)</x:f>
        <x:v>0</x:v>
      </x:c>
      <x:c r="V199" s="131" t="n">
        <x:f>IF(A199="","",IF(N199="Paga",0,IF(O199&gt;0,R199,S199)))</x:f>
        <x:v>40.57</x:v>
      </x:c>
      <x:c r="W199" s="131" t="n">
        <x:f>IF(A199="","",ROUND(MAX(D199-F199,0),2))</x:f>
        <x:v>1297.43</x:v>
      </x:c>
      <x:c r="X199" s="131" t="n">
        <x:f>IF(A199="","",ROUND(SUM($G199:$G$407),2))</x:f>
        <x:v>1422.96</x:v>
      </x:c>
      <x:c r="Y199" s="131" t="n">
        <x:f>IF(A199="","",ROUND(MAX(X199-D199,0),2))</x:f>
        <x:v>51.81</x:v>
      </x:c>
      <x:c r="Z199" s="131" t="n">
        <x:f>IF(A199="","",ROUND(SUM($V199:$V$407),2))</x:f>
        <x:v>708.52</x:v>
      </x:c>
      <x:c r="AA199" s="131" t="n">
        <x:f>IF(A199="","",ROUND(SUM($K199:$K$407)-Z199,2))</x:f>
        <x:v>7689.26</x:v>
      </x:c>
      <x:c r="AB199" s="77"/>
      <x:c r="AC199" s="36" t="str">
        <x:f>IF(A199="","",IF(O199&gt;0,"Vencido: saldo da fatura + mora",IF(O199&lt;=0,"Vincendo: VP da parcela financeira; comissão/proteção futuras isentas","")))</x:f>
        <x:v>Vincendo: VP da parcela financeira; comissão/proteção futuras isentas</x:v>
      </x:c>
    </x:row>
    <x:row r="200">
      <x:c r="A200" s="129" t="n">
        <x:f>IF(ROW()-7&lt;=Contrato!$C$16,ROW()-7,"")</x:f>
        <x:v>193</x:v>
      </x:c>
      <x:c r="B200" s="129" t="n">
        <x:f>IF(A200="","",Contrato!$C$16)</x:f>
        <x:v>209</x:v>
      </x:c>
      <x:c r="C200" s="130" t="n">
        <x:f>IF(A200="","",IF(AB200&lt;&gt;"",AB200,IF(Contrato!$C$14="Mensal",EDATE(Contrato!$C$13,A200-1),Contrato!$C$13+(A200-1)*IF(Contrato!$C$14="Quinzenal",14,IF(Contrato!$C$14="Semanal",7,1)))))</x:f>
        <x:v>47613</x:v>
      </x:c>
      <x:c r="D200" s="131" t="n">
        <x:f>IF(A200="","",W199)</x:f>
        <x:v>1297.43</x:v>
      </x:c>
      <x:c r="E200" s="131" t="n">
        <x:f>IF(A200="","",ROUND(D200*Simulador!$I$18,2))</x:f>
        <x:v>5.11</x:v>
      </x:c>
      <x:c r="F200" s="131" t="n">
        <x:f>IF(A200="","",ROUND(MIN(D200,MAX(G200-E200,0)),2))</x:f>
        <x:v>74.01</x:v>
      </x:c>
      <x:c r="G200" s="131" t="n">
        <x:f>IF(A200="","",IF(A200&lt;Contrato!$C$16,Contrato!$C$27,Contrato!$C$28))</x:f>
        <x:v>79.12</x:v>
      </x:c>
      <x:c r="H200" s="131" t="n">
        <x:f>IF(A200="","",Contrato!$C$29)</x:f>
        <x:v>199.99</x:v>
      </x:c>
      <x:c r="I200" s="131" t="n">
        <x:f>IF(A200="","",Contrato!$C$30)</x:f>
        <x:v>187.5</x:v>
      </x:c>
      <x:c r="J200" s="131" t="n">
        <x:f>IF(A200="","",Contrato!$C$31)</x:f>
        <x:v>0</x:v>
      </x:c>
      <x:c r="K200" s="131" t="n">
        <x:f>IF(A200="","",ROUND(SUM(G200:J200),2))</x:f>
        <x:v>466.61</x:v>
      </x:c>
      <x:c r="L200" s="80"/>
      <x:c r="M200" s="77"/>
      <x:c r="N200" s="29" t="str">
        <x:f>IF(A200="","",IF(L200&gt;=K200,"Paga",IF(L200&gt;0,"Paga parcialmente",IF(C200&lt;$A$5,"Vencida","Prevista"))))</x:f>
        <x:v>Prevista</x:v>
      </x:c>
      <x:c r="O200" s="29" t="n">
        <x:f>IF(A200="","",$A$5-C200)</x:f>
        <x:v>-1353</x:v>
      </x:c>
      <x:c r="P200" s="131" t="n">
        <x:f>IF(A200="","",IF(AND(O200&gt;0,MAX(K200-L200,0)&gt;0,N200&lt;&gt;"Paga"),ROUND(MAX(K200-L200,0)*'Parâmetros'!$B$34,2),0))</x:f>
        <x:v>0</x:v>
      </x:c>
      <x:c r="Q200" s="131" t="n">
        <x:f>IF(A200="","",IF(AND(O200&gt;0,MAX(K200-L200,0)&gt;0,N200&lt;&gt;"Paga"),ROUND(MAX(K200-L200,0)*'Parâmetros'!$B$35*(O200/'Parâmetros'!$B$33),2),0))</x:f>
        <x:v>0</x:v>
      </x:c>
      <x:c r="R200" s="131" t="n">
        <x:f>IF(A200="","",IF(O200&gt;0,ROUND(MAX(K200-L200,0)+P200+Q200,2),0))</x:f>
        <x:v>0</x:v>
      </x:c>
      <x:c r="S200" s="131" t="n">
        <x:f>IF(A200="","",IF(OR(N200="Paga",O200&gt;0),0,ROUND(IF(K200=0,0,G200*MAX(K200-L200,0)/K200)/(1+'Parâmetros'!$C$13)^((C200-$A$5)/30),2)))</x:f>
        <x:v>40.43</x:v>
      </x:c>
      <x:c r="T200" s="131" t="n">
        <x:f>IF(A200="","",0)</x:f>
        <x:v>0</x:v>
      </x:c>
      <x:c r="U200" s="131" t="n">
        <x:f>IF(A200="","",0)</x:f>
        <x:v>0</x:v>
      </x:c>
      <x:c r="V200" s="131" t="n">
        <x:f>IF(A200="","",IF(N200="Paga",0,IF(O200&gt;0,R200,S200)))</x:f>
        <x:v>40.43</x:v>
      </x:c>
      <x:c r="W200" s="131" t="n">
        <x:f>IF(A200="","",ROUND(MAX(D200-F200,0),2))</x:f>
        <x:v>1223.42</x:v>
      </x:c>
      <x:c r="X200" s="131" t="n">
        <x:f>IF(A200="","",ROUND(SUM($G200:$G$407),2))</x:f>
        <x:v>1343.84</x:v>
      </x:c>
      <x:c r="Y200" s="131" t="n">
        <x:f>IF(A200="","",ROUND(MAX(X200-D200,0),2))</x:f>
        <x:v>46.41</x:v>
      </x:c>
      <x:c r="Z200" s="131" t="n">
        <x:f>IF(A200="","",ROUND(SUM($V200:$V$407),2))</x:f>
        <x:v>667.95</x:v>
      </x:c>
      <x:c r="AA200" s="131" t="n">
        <x:f>IF(A200="","",ROUND(SUM($K200:$K$407)-Z200,2))</x:f>
        <x:v>7263.22</x:v>
      </x:c>
      <x:c r="AB200" s="77"/>
      <x:c r="AC200" s="36" t="str">
        <x:f>IF(A200="","",IF(O200&gt;0,"Vencido: saldo da fatura + mora",IF(O200&lt;=0,"Vincendo: VP da parcela financeira; comissão/proteção futuras isentas","")))</x:f>
        <x:v>Vincendo: VP da parcela financeira; comissão/proteção futuras isentas</x:v>
      </x:c>
    </x:row>
    <x:row r="201">
      <x:c r="A201" s="129" t="n">
        <x:f>IF(ROW()-7&lt;=Contrato!$C$16,ROW()-7,"")</x:f>
        <x:v>194</x:v>
      </x:c>
      <x:c r="B201" s="129" t="n">
        <x:f>IF(A201="","",Contrato!$C$16)</x:f>
        <x:v>209</x:v>
      </x:c>
      <x:c r="C201" s="130" t="n">
        <x:f>IF(A201="","",IF(AB201&lt;&gt;"",AB201,IF(Contrato!$C$14="Mensal",EDATE(Contrato!$C$13,A201-1),Contrato!$C$13+(A201-1)*IF(Contrato!$C$14="Quinzenal",14,IF(Contrato!$C$14="Semanal",7,1)))))</x:f>
        <x:v>47620</x:v>
      </x:c>
      <x:c r="D201" s="131" t="n">
        <x:f>IF(A201="","",W200)</x:f>
        <x:v>1223.42</x:v>
      </x:c>
      <x:c r="E201" s="131" t="n">
        <x:f>IF(A201="","",ROUND(D201*Simulador!$I$18,2))</x:f>
        <x:v>4.82</x:v>
      </x:c>
      <x:c r="F201" s="131" t="n">
        <x:f>IF(A201="","",ROUND(MIN(D201,MAX(G201-E201,0)),2))</x:f>
        <x:v>74.3</x:v>
      </x:c>
      <x:c r="G201" s="131" t="n">
        <x:f>IF(A201="","",IF(A201&lt;Contrato!$C$16,Contrato!$C$27,Contrato!$C$28))</x:f>
        <x:v>79.12</x:v>
      </x:c>
      <x:c r="H201" s="131" t="n">
        <x:f>IF(A201="","",Contrato!$C$29)</x:f>
        <x:v>199.99</x:v>
      </x:c>
      <x:c r="I201" s="131" t="n">
        <x:f>IF(A201="","",Contrato!$C$30)</x:f>
        <x:v>187.5</x:v>
      </x:c>
      <x:c r="J201" s="131" t="n">
        <x:f>IF(A201="","",Contrato!$C$31)</x:f>
        <x:v>0</x:v>
      </x:c>
      <x:c r="K201" s="131" t="n">
        <x:f>IF(A201="","",ROUND(SUM(G201:J201),2))</x:f>
        <x:v>466.61</x:v>
      </x:c>
      <x:c r="L201" s="80"/>
      <x:c r="M201" s="77"/>
      <x:c r="N201" s="29" t="str">
        <x:f>IF(A201="","",IF(L201&gt;=K201,"Paga",IF(L201&gt;0,"Paga parcialmente",IF(C201&lt;$A$5,"Vencida","Prevista"))))</x:f>
        <x:v>Prevista</x:v>
      </x:c>
      <x:c r="O201" s="29" t="n">
        <x:f>IF(A201="","",$A$5-C201)</x:f>
        <x:v>-1360</x:v>
      </x:c>
      <x:c r="P201" s="131" t="n">
        <x:f>IF(A201="","",IF(AND(O201&gt;0,MAX(K201-L201,0)&gt;0,N201&lt;&gt;"Paga"),ROUND(MAX(K201-L201,0)*'Parâmetros'!$B$34,2),0))</x:f>
        <x:v>0</x:v>
      </x:c>
      <x:c r="Q201" s="131" t="n">
        <x:f>IF(A201="","",IF(AND(O201&gt;0,MAX(K201-L201,0)&gt;0,N201&lt;&gt;"Paga"),ROUND(MAX(K201-L201,0)*'Parâmetros'!$B$35*(O201/'Parâmetros'!$B$33),2),0))</x:f>
        <x:v>0</x:v>
      </x:c>
      <x:c r="R201" s="131" t="n">
        <x:f>IF(A201="","",IF(O201&gt;0,ROUND(MAX(K201-L201,0)+P201+Q201,2),0))</x:f>
        <x:v>0</x:v>
      </x:c>
      <x:c r="S201" s="131" t="n">
        <x:f>IF(A201="","",IF(OR(N201="Paga",O201&gt;0),0,ROUND(IF(K201=0,0,G201*MAX(K201-L201,0)/K201)/(1+'Parâmetros'!$C$13)^((C201-$A$5)/30),2)))</x:f>
        <x:v>40.29</x:v>
      </x:c>
      <x:c r="T201" s="131" t="n">
        <x:f>IF(A201="","",0)</x:f>
        <x:v>0</x:v>
      </x:c>
      <x:c r="U201" s="131" t="n">
        <x:f>IF(A201="","",0)</x:f>
        <x:v>0</x:v>
      </x:c>
      <x:c r="V201" s="131" t="n">
        <x:f>IF(A201="","",IF(N201="Paga",0,IF(O201&gt;0,R201,S201)))</x:f>
        <x:v>40.29</x:v>
      </x:c>
      <x:c r="W201" s="131" t="n">
        <x:f>IF(A201="","",ROUND(MAX(D201-F201,0),2))</x:f>
        <x:v>1149.12</x:v>
      </x:c>
      <x:c r="X201" s="131" t="n">
        <x:f>IF(A201="","",ROUND(SUM($G201:$G$407),2))</x:f>
        <x:v>1264.72</x:v>
      </x:c>
      <x:c r="Y201" s="131" t="n">
        <x:f>IF(A201="","",ROUND(MAX(X201-D201,0),2))</x:f>
        <x:v>41.3</x:v>
      </x:c>
      <x:c r="Z201" s="131" t="n">
        <x:f>IF(A201="","",ROUND(SUM($V201:$V$407),2))</x:f>
        <x:v>627.52</x:v>
      </x:c>
      <x:c r="AA201" s="131" t="n">
        <x:f>IF(A201="","",ROUND(SUM($K201:$K$407)-Z201,2))</x:f>
        <x:v>6837.04</x:v>
      </x:c>
      <x:c r="AB201" s="77"/>
      <x:c r="AC201" s="36" t="str">
        <x:f>IF(A201="","",IF(O201&gt;0,"Vencido: saldo da fatura + mora",IF(O201&lt;=0,"Vincendo: VP da parcela financeira; comissão/proteção futuras isentas","")))</x:f>
        <x:v>Vincendo: VP da parcela financeira; comissão/proteção futuras isentas</x:v>
      </x:c>
    </x:row>
    <x:row r="202">
      <x:c r="A202" s="129" t="n">
        <x:f>IF(ROW()-7&lt;=Contrato!$C$16,ROW()-7,"")</x:f>
        <x:v>195</x:v>
      </x:c>
      <x:c r="B202" s="129" t="n">
        <x:f>IF(A202="","",Contrato!$C$16)</x:f>
        <x:v>209</x:v>
      </x:c>
      <x:c r="C202" s="130" t="n">
        <x:f>IF(A202="","",IF(AB202&lt;&gt;"",AB202,IF(Contrato!$C$14="Mensal",EDATE(Contrato!$C$13,A202-1),Contrato!$C$13+(A202-1)*IF(Contrato!$C$14="Quinzenal",14,IF(Contrato!$C$14="Semanal",7,1)))))</x:f>
        <x:v>47627</x:v>
      </x:c>
      <x:c r="D202" s="131" t="n">
        <x:f>IF(A202="","",W201)</x:f>
        <x:v>1149.12</x:v>
      </x:c>
      <x:c r="E202" s="131" t="n">
        <x:f>IF(A202="","",ROUND(D202*Simulador!$I$18,2))</x:f>
        <x:v>4.53</x:v>
      </x:c>
      <x:c r="F202" s="131" t="n">
        <x:f>IF(A202="","",ROUND(MIN(D202,MAX(G202-E202,0)),2))</x:f>
        <x:v>74.59</x:v>
      </x:c>
      <x:c r="G202" s="131" t="n">
        <x:f>IF(A202="","",IF(A202&lt;Contrato!$C$16,Contrato!$C$27,Contrato!$C$28))</x:f>
        <x:v>79.12</x:v>
      </x:c>
      <x:c r="H202" s="131" t="n">
        <x:f>IF(A202="","",Contrato!$C$29)</x:f>
        <x:v>199.99</x:v>
      </x:c>
      <x:c r="I202" s="131" t="n">
        <x:f>IF(A202="","",Contrato!$C$30)</x:f>
        <x:v>187.5</x:v>
      </x:c>
      <x:c r="J202" s="131" t="n">
        <x:f>IF(A202="","",Contrato!$C$31)</x:f>
        <x:v>0</x:v>
      </x:c>
      <x:c r="K202" s="131" t="n">
        <x:f>IF(A202="","",ROUND(SUM(G202:J202),2))</x:f>
        <x:v>466.61</x:v>
      </x:c>
      <x:c r="L202" s="80"/>
      <x:c r="M202" s="77"/>
      <x:c r="N202" s="29" t="str">
        <x:f>IF(A202="","",IF(L202&gt;=K202,"Paga",IF(L202&gt;0,"Paga parcialmente",IF(C202&lt;$A$5,"Vencida","Prevista"))))</x:f>
        <x:v>Prevista</x:v>
      </x:c>
      <x:c r="O202" s="29" t="n">
        <x:f>IF(A202="","",$A$5-C202)</x:f>
        <x:v>-1367</x:v>
      </x:c>
      <x:c r="P202" s="131" t="n">
        <x:f>IF(A202="","",IF(AND(O202&gt;0,MAX(K202-L202,0)&gt;0,N202&lt;&gt;"Paga"),ROUND(MAX(K202-L202,0)*'Parâmetros'!$B$34,2),0))</x:f>
        <x:v>0</x:v>
      </x:c>
      <x:c r="Q202" s="131" t="n">
        <x:f>IF(A202="","",IF(AND(O202&gt;0,MAX(K202-L202,0)&gt;0,N202&lt;&gt;"Paga"),ROUND(MAX(K202-L202,0)*'Parâmetros'!$B$35*(O202/'Parâmetros'!$B$33),2),0))</x:f>
        <x:v>0</x:v>
      </x:c>
      <x:c r="R202" s="131" t="n">
        <x:f>IF(A202="","",IF(O202&gt;0,ROUND(MAX(K202-L202,0)+P202+Q202,2),0))</x:f>
        <x:v>0</x:v>
      </x:c>
      <x:c r="S202" s="131" t="n">
        <x:f>IF(A202="","",IF(OR(N202="Paga",O202&gt;0),0,ROUND(IF(K202=0,0,G202*MAX(K202-L202,0)/K202)/(1+'Parâmetros'!$C$13)^((C202-$A$5)/30),2)))</x:f>
        <x:v>40.15</x:v>
      </x:c>
      <x:c r="T202" s="131" t="n">
        <x:f>IF(A202="","",0)</x:f>
        <x:v>0</x:v>
      </x:c>
      <x:c r="U202" s="131" t="n">
        <x:f>IF(A202="","",0)</x:f>
        <x:v>0</x:v>
      </x:c>
      <x:c r="V202" s="131" t="n">
        <x:f>IF(A202="","",IF(N202="Paga",0,IF(O202&gt;0,R202,S202)))</x:f>
        <x:v>40.15</x:v>
      </x:c>
      <x:c r="W202" s="131" t="n">
        <x:f>IF(A202="","",ROUND(MAX(D202-F202,0),2))</x:f>
        <x:v>1074.53</x:v>
      </x:c>
      <x:c r="X202" s="131" t="n">
        <x:f>IF(A202="","",ROUND(SUM($G202:$G$407),2))</x:f>
        <x:v>1185.6</x:v>
      </x:c>
      <x:c r="Y202" s="131" t="n">
        <x:f>IF(A202="","",ROUND(MAX(X202-D202,0),2))</x:f>
        <x:v>36.48</x:v>
      </x:c>
      <x:c r="Z202" s="131" t="n">
        <x:f>IF(A202="","",ROUND(SUM($V202:$V$407),2))</x:f>
        <x:v>587.23</x:v>
      </x:c>
      <x:c r="AA202" s="131" t="n">
        <x:f>IF(A202="","",ROUND(SUM($K202:$K$407)-Z202,2))</x:f>
        <x:v>6410.72</x:v>
      </x:c>
      <x:c r="AB202" s="77"/>
      <x:c r="AC202" s="36" t="str">
        <x:f>IF(A202="","",IF(O202&gt;0,"Vencido: saldo da fatura + mora",IF(O202&lt;=0,"Vincendo: VP da parcela financeira; comissão/proteção futuras isentas","")))</x:f>
        <x:v>Vincendo: VP da parcela financeira; comissão/proteção futuras isentas</x:v>
      </x:c>
    </x:row>
    <x:row r="203">
      <x:c r="A203" s="129" t="n">
        <x:f>IF(ROW()-7&lt;=Contrato!$C$16,ROW()-7,"")</x:f>
        <x:v>196</x:v>
      </x:c>
      <x:c r="B203" s="129" t="n">
        <x:f>IF(A203="","",Contrato!$C$16)</x:f>
        <x:v>209</x:v>
      </x:c>
      <x:c r="C203" s="130" t="n">
        <x:f>IF(A203="","",IF(AB203&lt;&gt;"",AB203,IF(Contrato!$C$14="Mensal",EDATE(Contrato!$C$13,A203-1),Contrato!$C$13+(A203-1)*IF(Contrato!$C$14="Quinzenal",14,IF(Contrato!$C$14="Semanal",7,1)))))</x:f>
        <x:v>47634</x:v>
      </x:c>
      <x:c r="D203" s="131" t="n">
        <x:f>IF(A203="","",W202)</x:f>
        <x:v>1074.53</x:v>
      </x:c>
      <x:c r="E203" s="131" t="n">
        <x:f>IF(A203="","",ROUND(D203*Simulador!$I$18,2))</x:f>
        <x:v>4.23</x:v>
      </x:c>
      <x:c r="F203" s="131" t="n">
        <x:f>IF(A203="","",ROUND(MIN(D203,MAX(G203-E203,0)),2))</x:f>
        <x:v>74.89</x:v>
      </x:c>
      <x:c r="G203" s="131" t="n">
        <x:f>IF(A203="","",IF(A203&lt;Contrato!$C$16,Contrato!$C$27,Contrato!$C$28))</x:f>
        <x:v>79.12</x:v>
      </x:c>
      <x:c r="H203" s="131" t="n">
        <x:f>IF(A203="","",Contrato!$C$29)</x:f>
        <x:v>199.99</x:v>
      </x:c>
      <x:c r="I203" s="131" t="n">
        <x:f>IF(A203="","",Contrato!$C$30)</x:f>
        <x:v>187.5</x:v>
      </x:c>
      <x:c r="J203" s="131" t="n">
        <x:f>IF(A203="","",Contrato!$C$31)</x:f>
        <x:v>0</x:v>
      </x:c>
      <x:c r="K203" s="131" t="n">
        <x:f>IF(A203="","",ROUND(SUM(G203:J203),2))</x:f>
        <x:v>466.61</x:v>
      </x:c>
      <x:c r="L203" s="80"/>
      <x:c r="M203" s="77"/>
      <x:c r="N203" s="29" t="str">
        <x:f>IF(A203="","",IF(L203&gt;=K203,"Paga",IF(L203&gt;0,"Paga parcialmente",IF(C203&lt;$A$5,"Vencida","Prevista"))))</x:f>
        <x:v>Prevista</x:v>
      </x:c>
      <x:c r="O203" s="29" t="n">
        <x:f>IF(A203="","",$A$5-C203)</x:f>
        <x:v>-1374</x:v>
      </x:c>
      <x:c r="P203" s="131" t="n">
        <x:f>IF(A203="","",IF(AND(O203&gt;0,MAX(K203-L203,0)&gt;0,N203&lt;&gt;"Paga"),ROUND(MAX(K203-L203,0)*'Parâmetros'!$B$34,2),0))</x:f>
        <x:v>0</x:v>
      </x:c>
      <x:c r="Q203" s="131" t="n">
        <x:f>IF(A203="","",IF(AND(O203&gt;0,MAX(K203-L203,0)&gt;0,N203&lt;&gt;"Paga"),ROUND(MAX(K203-L203,0)*'Parâmetros'!$B$35*(O203/'Parâmetros'!$B$33),2),0))</x:f>
        <x:v>0</x:v>
      </x:c>
      <x:c r="R203" s="131" t="n">
        <x:f>IF(A203="","",IF(O203&gt;0,ROUND(MAX(K203-L203,0)+P203+Q203,2),0))</x:f>
        <x:v>0</x:v>
      </x:c>
      <x:c r="S203" s="131" t="n">
        <x:f>IF(A203="","",IF(OR(N203="Paga",O203&gt;0),0,ROUND(IF(K203=0,0,G203*MAX(K203-L203,0)/K203)/(1+'Parâmetros'!$C$13)^((C203-$A$5)/30),2)))</x:f>
        <x:v>40.01</x:v>
      </x:c>
      <x:c r="T203" s="131" t="n">
        <x:f>IF(A203="","",0)</x:f>
        <x:v>0</x:v>
      </x:c>
      <x:c r="U203" s="131" t="n">
        <x:f>IF(A203="","",0)</x:f>
        <x:v>0</x:v>
      </x:c>
      <x:c r="V203" s="131" t="n">
        <x:f>IF(A203="","",IF(N203="Paga",0,IF(O203&gt;0,R203,S203)))</x:f>
        <x:v>40.01</x:v>
      </x:c>
      <x:c r="W203" s="131" t="n">
        <x:f>IF(A203="","",ROUND(MAX(D203-F203,0),2))</x:f>
        <x:v>999.64</x:v>
      </x:c>
      <x:c r="X203" s="131" t="n">
        <x:f>IF(A203="","",ROUND(SUM($G203:$G$407),2))</x:f>
        <x:v>1106.48</x:v>
      </x:c>
      <x:c r="Y203" s="131" t="n">
        <x:f>IF(A203="","",ROUND(MAX(X203-D203,0),2))</x:f>
        <x:v>31.95</x:v>
      </x:c>
      <x:c r="Z203" s="131" t="n">
        <x:f>IF(A203="","",ROUND(SUM($V203:$V$407),2))</x:f>
        <x:v>547.08</x:v>
      </x:c>
      <x:c r="AA203" s="131" t="n">
        <x:f>IF(A203="","",ROUND(SUM($K203:$K$407)-Z203,2))</x:f>
        <x:v>5984.26</x:v>
      </x:c>
      <x:c r="AB203" s="77"/>
      <x:c r="AC203" s="36" t="str">
        <x:f>IF(A203="","",IF(O203&gt;0,"Vencido: saldo da fatura + mora",IF(O203&lt;=0,"Vincendo: VP da parcela financeira; comissão/proteção futuras isentas","")))</x:f>
        <x:v>Vincendo: VP da parcela financeira; comissão/proteção futuras isentas</x:v>
      </x:c>
    </x:row>
    <x:row r="204">
      <x:c r="A204" s="129" t="n">
        <x:f>IF(ROW()-7&lt;=Contrato!$C$16,ROW()-7,"")</x:f>
        <x:v>197</x:v>
      </x:c>
      <x:c r="B204" s="129" t="n">
        <x:f>IF(A204="","",Contrato!$C$16)</x:f>
        <x:v>209</x:v>
      </x:c>
      <x:c r="C204" s="130" t="n">
        <x:f>IF(A204="","",IF(AB204&lt;&gt;"",AB204,IF(Contrato!$C$14="Mensal",EDATE(Contrato!$C$13,A204-1),Contrato!$C$13+(A204-1)*IF(Contrato!$C$14="Quinzenal",14,IF(Contrato!$C$14="Semanal",7,1)))))</x:f>
        <x:v>47641</x:v>
      </x:c>
      <x:c r="D204" s="131" t="n">
        <x:f>IF(A204="","",W203)</x:f>
        <x:v>999.64</x:v>
      </x:c>
      <x:c r="E204" s="131" t="n">
        <x:f>IF(A204="","",ROUND(D204*Simulador!$I$18,2))</x:f>
        <x:v>3.94</x:v>
      </x:c>
      <x:c r="F204" s="131" t="n">
        <x:f>IF(A204="","",ROUND(MIN(D204,MAX(G204-E204,0)),2))</x:f>
        <x:v>75.18</x:v>
      </x:c>
      <x:c r="G204" s="131" t="n">
        <x:f>IF(A204="","",IF(A204&lt;Contrato!$C$16,Contrato!$C$27,Contrato!$C$28))</x:f>
        <x:v>79.12</x:v>
      </x:c>
      <x:c r="H204" s="131" t="n">
        <x:f>IF(A204="","",Contrato!$C$29)</x:f>
        <x:v>199.99</x:v>
      </x:c>
      <x:c r="I204" s="131" t="n">
        <x:f>IF(A204="","",Contrato!$C$30)</x:f>
        <x:v>187.5</x:v>
      </x:c>
      <x:c r="J204" s="131" t="n">
        <x:f>IF(A204="","",Contrato!$C$31)</x:f>
        <x:v>0</x:v>
      </x:c>
      <x:c r="K204" s="131" t="n">
        <x:f>IF(A204="","",ROUND(SUM(G204:J204),2))</x:f>
        <x:v>466.61</x:v>
      </x:c>
      <x:c r="L204" s="80"/>
      <x:c r="M204" s="77"/>
      <x:c r="N204" s="29" t="str">
        <x:f>IF(A204="","",IF(L204&gt;=K204,"Paga",IF(L204&gt;0,"Paga parcialmente",IF(C204&lt;$A$5,"Vencida","Prevista"))))</x:f>
        <x:v>Prevista</x:v>
      </x:c>
      <x:c r="O204" s="29" t="n">
        <x:f>IF(A204="","",$A$5-C204)</x:f>
        <x:v>-1381</x:v>
      </x:c>
      <x:c r="P204" s="131" t="n">
        <x:f>IF(A204="","",IF(AND(O204&gt;0,MAX(K204-L204,0)&gt;0,N204&lt;&gt;"Paga"),ROUND(MAX(K204-L204,0)*'Parâmetros'!$B$34,2),0))</x:f>
        <x:v>0</x:v>
      </x:c>
      <x:c r="Q204" s="131" t="n">
        <x:f>IF(A204="","",IF(AND(O204&gt;0,MAX(K204-L204,0)&gt;0,N204&lt;&gt;"Paga"),ROUND(MAX(K204-L204,0)*'Parâmetros'!$B$35*(O204/'Parâmetros'!$B$33),2),0))</x:f>
        <x:v>0</x:v>
      </x:c>
      <x:c r="R204" s="131" t="n">
        <x:f>IF(A204="","",IF(O204&gt;0,ROUND(MAX(K204-L204,0)+P204+Q204,2),0))</x:f>
        <x:v>0</x:v>
      </x:c>
      <x:c r="S204" s="131" t="n">
        <x:f>IF(A204="","",IF(OR(N204="Paga",O204&gt;0),0,ROUND(IF(K204=0,0,G204*MAX(K204-L204,0)/K204)/(1+'Parâmetros'!$C$13)^((C204-$A$5)/30),2)))</x:f>
        <x:v>39.87</x:v>
      </x:c>
      <x:c r="T204" s="131" t="n">
        <x:f>IF(A204="","",0)</x:f>
        <x:v>0</x:v>
      </x:c>
      <x:c r="U204" s="131" t="n">
        <x:f>IF(A204="","",0)</x:f>
        <x:v>0</x:v>
      </x:c>
      <x:c r="V204" s="131" t="n">
        <x:f>IF(A204="","",IF(N204="Paga",0,IF(O204&gt;0,R204,S204)))</x:f>
        <x:v>39.87</x:v>
      </x:c>
      <x:c r="W204" s="131" t="n">
        <x:f>IF(A204="","",ROUND(MAX(D204-F204,0),2))</x:f>
        <x:v>924.46</x:v>
      </x:c>
      <x:c r="X204" s="131" t="n">
        <x:f>IF(A204="","",ROUND(SUM($G204:$G$407),2))</x:f>
        <x:v>1027.36</x:v>
      </x:c>
      <x:c r="Y204" s="131" t="n">
        <x:f>IF(A204="","",ROUND(MAX(X204-D204,0),2))</x:f>
        <x:v>27.72</x:v>
      </x:c>
      <x:c r="Z204" s="131" t="n">
        <x:f>IF(A204="","",ROUND(SUM($V204:$V$407),2))</x:f>
        <x:v>507.07</x:v>
      </x:c>
      <x:c r="AA204" s="131" t="n">
        <x:f>IF(A204="","",ROUND(SUM($K204:$K$407)-Z204,2))</x:f>
        <x:v>5557.66</x:v>
      </x:c>
      <x:c r="AB204" s="77"/>
      <x:c r="AC204" s="36" t="str">
        <x:f>IF(A204="","",IF(O204&gt;0,"Vencido: saldo da fatura + mora",IF(O204&lt;=0,"Vincendo: VP da parcela financeira; comissão/proteção futuras isentas","")))</x:f>
        <x:v>Vincendo: VP da parcela financeira; comissão/proteção futuras isentas</x:v>
      </x:c>
    </x:row>
    <x:row r="205">
      <x:c r="A205" s="129" t="n">
        <x:f>IF(ROW()-7&lt;=Contrato!$C$16,ROW()-7,"")</x:f>
        <x:v>198</x:v>
      </x:c>
      <x:c r="B205" s="129" t="n">
        <x:f>IF(A205="","",Contrato!$C$16)</x:f>
        <x:v>209</x:v>
      </x:c>
      <x:c r="C205" s="130" t="n">
        <x:f>IF(A205="","",IF(AB205&lt;&gt;"",AB205,IF(Contrato!$C$14="Mensal",EDATE(Contrato!$C$13,A205-1),Contrato!$C$13+(A205-1)*IF(Contrato!$C$14="Quinzenal",14,IF(Contrato!$C$14="Semanal",7,1)))))</x:f>
        <x:v>47648</x:v>
      </x:c>
      <x:c r="D205" s="131" t="n">
        <x:f>IF(A205="","",W204)</x:f>
        <x:v>924.46</x:v>
      </x:c>
      <x:c r="E205" s="131" t="n">
        <x:f>IF(A205="","",ROUND(D205*Simulador!$I$18,2))</x:f>
        <x:v>3.64</x:v>
      </x:c>
      <x:c r="F205" s="131" t="n">
        <x:f>IF(A205="","",ROUND(MIN(D205,MAX(G205-E205,0)),2))</x:f>
        <x:v>75.48</x:v>
      </x:c>
      <x:c r="G205" s="131" t="n">
        <x:f>IF(A205="","",IF(A205&lt;Contrato!$C$16,Contrato!$C$27,Contrato!$C$28))</x:f>
        <x:v>79.12</x:v>
      </x:c>
      <x:c r="H205" s="131" t="n">
        <x:f>IF(A205="","",Contrato!$C$29)</x:f>
        <x:v>199.99</x:v>
      </x:c>
      <x:c r="I205" s="131" t="n">
        <x:f>IF(A205="","",Contrato!$C$30)</x:f>
        <x:v>187.5</x:v>
      </x:c>
      <x:c r="J205" s="131" t="n">
        <x:f>IF(A205="","",Contrato!$C$31)</x:f>
        <x:v>0</x:v>
      </x:c>
      <x:c r="K205" s="131" t="n">
        <x:f>IF(A205="","",ROUND(SUM(G205:J205),2))</x:f>
        <x:v>466.61</x:v>
      </x:c>
      <x:c r="L205" s="80"/>
      <x:c r="M205" s="77"/>
      <x:c r="N205" s="29" t="str">
        <x:f>IF(A205="","",IF(L205&gt;=K205,"Paga",IF(L205&gt;0,"Paga parcialmente",IF(C205&lt;$A$5,"Vencida","Prevista"))))</x:f>
        <x:v>Prevista</x:v>
      </x:c>
      <x:c r="O205" s="29" t="n">
        <x:f>IF(A205="","",$A$5-C205)</x:f>
        <x:v>-1388</x:v>
      </x:c>
      <x:c r="P205" s="131" t="n">
        <x:f>IF(A205="","",IF(AND(O205&gt;0,MAX(K205-L205,0)&gt;0,N205&lt;&gt;"Paga"),ROUND(MAX(K205-L205,0)*'Parâmetros'!$B$34,2),0))</x:f>
        <x:v>0</x:v>
      </x:c>
      <x:c r="Q205" s="131" t="n">
        <x:f>IF(A205="","",IF(AND(O205&gt;0,MAX(K205-L205,0)&gt;0,N205&lt;&gt;"Paga"),ROUND(MAX(K205-L205,0)*'Parâmetros'!$B$35*(O205/'Parâmetros'!$B$33),2),0))</x:f>
        <x:v>0</x:v>
      </x:c>
      <x:c r="R205" s="131" t="n">
        <x:f>IF(A205="","",IF(O205&gt;0,ROUND(MAX(K205-L205,0)+P205+Q205,2),0))</x:f>
        <x:v>0</x:v>
      </x:c>
      <x:c r="S205" s="131" t="n">
        <x:f>IF(A205="","",IF(OR(N205="Paga",O205&gt;0),0,ROUND(IF(K205=0,0,G205*MAX(K205-L205,0)/K205)/(1+'Parâmetros'!$C$13)^((C205-$A$5)/30),2)))</x:f>
        <x:v>39.73</x:v>
      </x:c>
      <x:c r="T205" s="131" t="n">
        <x:f>IF(A205="","",0)</x:f>
        <x:v>0</x:v>
      </x:c>
      <x:c r="U205" s="131" t="n">
        <x:f>IF(A205="","",0)</x:f>
        <x:v>0</x:v>
      </x:c>
      <x:c r="V205" s="131" t="n">
        <x:f>IF(A205="","",IF(N205="Paga",0,IF(O205&gt;0,R205,S205)))</x:f>
        <x:v>39.73</x:v>
      </x:c>
      <x:c r="W205" s="131" t="n">
        <x:f>IF(A205="","",ROUND(MAX(D205-F205,0),2))</x:f>
        <x:v>848.98</x:v>
      </x:c>
      <x:c r="X205" s="131" t="n">
        <x:f>IF(A205="","",ROUND(SUM($G205:$G$407),2))</x:f>
        <x:v>948.24</x:v>
      </x:c>
      <x:c r="Y205" s="131" t="n">
        <x:f>IF(A205="","",ROUND(MAX(X205-D205,0),2))</x:f>
        <x:v>23.78</x:v>
      </x:c>
      <x:c r="Z205" s="131" t="n">
        <x:f>IF(A205="","",ROUND(SUM($V205:$V$407),2))</x:f>
        <x:v>467.2</x:v>
      </x:c>
      <x:c r="AA205" s="131" t="n">
        <x:f>IF(A205="","",ROUND(SUM($K205:$K$407)-Z205,2))</x:f>
        <x:v>5130.92</x:v>
      </x:c>
      <x:c r="AB205" s="77"/>
      <x:c r="AC205" s="36" t="str">
        <x:f>IF(A205="","",IF(O205&gt;0,"Vencido: saldo da fatura + mora",IF(O205&lt;=0,"Vincendo: VP da parcela financeira; comissão/proteção futuras isentas","")))</x:f>
        <x:v>Vincendo: VP da parcela financeira; comissão/proteção futuras isentas</x:v>
      </x:c>
    </x:row>
    <x:row r="206">
      <x:c r="A206" s="129" t="n">
        <x:f>IF(ROW()-7&lt;=Contrato!$C$16,ROW()-7,"")</x:f>
        <x:v>199</x:v>
      </x:c>
      <x:c r="B206" s="129" t="n">
        <x:f>IF(A206="","",Contrato!$C$16)</x:f>
        <x:v>209</x:v>
      </x:c>
      <x:c r="C206" s="130" t="n">
        <x:f>IF(A206="","",IF(AB206&lt;&gt;"",AB206,IF(Contrato!$C$14="Mensal",EDATE(Contrato!$C$13,A206-1),Contrato!$C$13+(A206-1)*IF(Contrato!$C$14="Quinzenal",14,IF(Contrato!$C$14="Semanal",7,1)))))</x:f>
        <x:v>47655</x:v>
      </x:c>
      <x:c r="D206" s="131" t="n">
        <x:f>IF(A206="","",W205)</x:f>
        <x:v>848.98</x:v>
      </x:c>
      <x:c r="E206" s="131" t="n">
        <x:f>IF(A206="","",ROUND(D206*Simulador!$I$18,2))</x:f>
        <x:v>3.35</x:v>
      </x:c>
      <x:c r="F206" s="131" t="n">
        <x:f>IF(A206="","",ROUND(MIN(D206,MAX(G206-E206,0)),2))</x:f>
        <x:v>75.77</x:v>
      </x:c>
      <x:c r="G206" s="131" t="n">
        <x:f>IF(A206="","",IF(A206&lt;Contrato!$C$16,Contrato!$C$27,Contrato!$C$28))</x:f>
        <x:v>79.12</x:v>
      </x:c>
      <x:c r="H206" s="131" t="n">
        <x:f>IF(A206="","",Contrato!$C$29)</x:f>
        <x:v>199.99</x:v>
      </x:c>
      <x:c r="I206" s="131" t="n">
        <x:f>IF(A206="","",Contrato!$C$30)</x:f>
        <x:v>187.5</x:v>
      </x:c>
      <x:c r="J206" s="131" t="n">
        <x:f>IF(A206="","",Contrato!$C$31)</x:f>
        <x:v>0</x:v>
      </x:c>
      <x:c r="K206" s="131" t="n">
        <x:f>IF(A206="","",ROUND(SUM(G206:J206),2))</x:f>
        <x:v>466.61</x:v>
      </x:c>
      <x:c r="L206" s="80"/>
      <x:c r="M206" s="77"/>
      <x:c r="N206" s="29" t="str">
        <x:f>IF(A206="","",IF(L206&gt;=K206,"Paga",IF(L206&gt;0,"Paga parcialmente",IF(C206&lt;$A$5,"Vencida","Prevista"))))</x:f>
        <x:v>Prevista</x:v>
      </x:c>
      <x:c r="O206" s="29" t="n">
        <x:f>IF(A206="","",$A$5-C206)</x:f>
        <x:v>-1395</x:v>
      </x:c>
      <x:c r="P206" s="131" t="n">
        <x:f>IF(A206="","",IF(AND(O206&gt;0,MAX(K206-L206,0)&gt;0,N206&lt;&gt;"Paga"),ROUND(MAX(K206-L206,0)*'Parâmetros'!$B$34,2),0))</x:f>
        <x:v>0</x:v>
      </x:c>
      <x:c r="Q206" s="131" t="n">
        <x:f>IF(A206="","",IF(AND(O206&gt;0,MAX(K206-L206,0)&gt;0,N206&lt;&gt;"Paga"),ROUND(MAX(K206-L206,0)*'Parâmetros'!$B$35*(O206/'Parâmetros'!$B$33),2),0))</x:f>
        <x:v>0</x:v>
      </x:c>
      <x:c r="R206" s="131" t="n">
        <x:f>IF(A206="","",IF(O206&gt;0,ROUND(MAX(K206-L206,0)+P206+Q206,2),0))</x:f>
        <x:v>0</x:v>
      </x:c>
      <x:c r="S206" s="131" t="n">
        <x:f>IF(A206="","",IF(OR(N206="Paga",O206&gt;0),0,ROUND(IF(K206=0,0,G206*MAX(K206-L206,0)/K206)/(1+'Parâmetros'!$C$13)^((C206-$A$5)/30),2)))</x:f>
        <x:v>39.59</x:v>
      </x:c>
      <x:c r="T206" s="131" t="n">
        <x:f>IF(A206="","",0)</x:f>
        <x:v>0</x:v>
      </x:c>
      <x:c r="U206" s="131" t="n">
        <x:f>IF(A206="","",0)</x:f>
        <x:v>0</x:v>
      </x:c>
      <x:c r="V206" s="131" t="n">
        <x:f>IF(A206="","",IF(N206="Paga",0,IF(O206&gt;0,R206,S206)))</x:f>
        <x:v>39.59</x:v>
      </x:c>
      <x:c r="W206" s="131" t="n">
        <x:f>IF(A206="","",ROUND(MAX(D206-F206,0),2))</x:f>
        <x:v>773.21</x:v>
      </x:c>
      <x:c r="X206" s="131" t="n">
        <x:f>IF(A206="","",ROUND(SUM($G206:$G$407),2))</x:f>
        <x:v>869.12</x:v>
      </x:c>
      <x:c r="Y206" s="131" t="n">
        <x:f>IF(A206="","",ROUND(MAX(X206-D206,0),2))</x:f>
        <x:v>20.14</x:v>
      </x:c>
      <x:c r="Z206" s="131" t="n">
        <x:f>IF(A206="","",ROUND(SUM($V206:$V$407),2))</x:f>
        <x:v>427.47</x:v>
      </x:c>
      <x:c r="AA206" s="131" t="n">
        <x:f>IF(A206="","",ROUND(SUM($K206:$K$407)-Z206,2))</x:f>
        <x:v>4704.04</x:v>
      </x:c>
      <x:c r="AB206" s="77"/>
      <x:c r="AC206" s="36" t="str">
        <x:f>IF(A206="","",IF(O206&gt;0,"Vencido: saldo da fatura + mora",IF(O206&lt;=0,"Vincendo: VP da parcela financeira; comissão/proteção futuras isentas","")))</x:f>
        <x:v>Vincendo: VP da parcela financeira; comissão/proteção futuras isentas</x:v>
      </x:c>
    </x:row>
    <x:row r="207">
      <x:c r="A207" s="129" t="n">
        <x:f>IF(ROW()-7&lt;=Contrato!$C$16,ROW()-7,"")</x:f>
        <x:v>200</x:v>
      </x:c>
      <x:c r="B207" s="129" t="n">
        <x:f>IF(A207="","",Contrato!$C$16)</x:f>
        <x:v>209</x:v>
      </x:c>
      <x:c r="C207" s="130" t="n">
        <x:f>IF(A207="","",IF(AB207&lt;&gt;"",AB207,IF(Contrato!$C$14="Mensal",EDATE(Contrato!$C$13,A207-1),Contrato!$C$13+(A207-1)*IF(Contrato!$C$14="Quinzenal",14,IF(Contrato!$C$14="Semanal",7,1)))))</x:f>
        <x:v>47662</x:v>
      </x:c>
      <x:c r="D207" s="131" t="n">
        <x:f>IF(A207="","",W206)</x:f>
        <x:v>773.21</x:v>
      </x:c>
      <x:c r="E207" s="131" t="n">
        <x:f>IF(A207="","",ROUND(D207*Simulador!$I$18,2))</x:f>
        <x:v>3.05</x:v>
      </x:c>
      <x:c r="F207" s="131" t="n">
        <x:f>IF(A207="","",ROUND(MIN(D207,MAX(G207-E207,0)),2))</x:f>
        <x:v>76.07</x:v>
      </x:c>
      <x:c r="G207" s="131" t="n">
        <x:f>IF(A207="","",IF(A207&lt;Contrato!$C$16,Contrato!$C$27,Contrato!$C$28))</x:f>
        <x:v>79.12</x:v>
      </x:c>
      <x:c r="H207" s="131" t="n">
        <x:f>IF(A207="","",Contrato!$C$29)</x:f>
        <x:v>199.99</x:v>
      </x:c>
      <x:c r="I207" s="131" t="n">
        <x:f>IF(A207="","",Contrato!$C$30)</x:f>
        <x:v>187.5</x:v>
      </x:c>
      <x:c r="J207" s="131" t="n">
        <x:f>IF(A207="","",Contrato!$C$31)</x:f>
        <x:v>0</x:v>
      </x:c>
      <x:c r="K207" s="131" t="n">
        <x:f>IF(A207="","",ROUND(SUM(G207:J207),2))</x:f>
        <x:v>466.61</x:v>
      </x:c>
      <x:c r="L207" s="80"/>
      <x:c r="M207" s="77"/>
      <x:c r="N207" s="29" t="str">
        <x:f>IF(A207="","",IF(L207&gt;=K207,"Paga",IF(L207&gt;0,"Paga parcialmente",IF(C207&lt;$A$5,"Vencida","Prevista"))))</x:f>
        <x:v>Prevista</x:v>
      </x:c>
      <x:c r="O207" s="29" t="n">
        <x:f>IF(A207="","",$A$5-C207)</x:f>
        <x:v>-1402</x:v>
      </x:c>
      <x:c r="P207" s="131" t="n">
        <x:f>IF(A207="","",IF(AND(O207&gt;0,MAX(K207-L207,0)&gt;0,N207&lt;&gt;"Paga"),ROUND(MAX(K207-L207,0)*'Parâmetros'!$B$34,2),0))</x:f>
        <x:v>0</x:v>
      </x:c>
      <x:c r="Q207" s="131" t="n">
        <x:f>IF(A207="","",IF(AND(O207&gt;0,MAX(K207-L207,0)&gt;0,N207&lt;&gt;"Paga"),ROUND(MAX(K207-L207,0)*'Parâmetros'!$B$35*(O207/'Parâmetros'!$B$33),2),0))</x:f>
        <x:v>0</x:v>
      </x:c>
      <x:c r="R207" s="131" t="n">
        <x:f>IF(A207="","",IF(O207&gt;0,ROUND(MAX(K207-L207,0)+P207+Q207,2),0))</x:f>
        <x:v>0</x:v>
      </x:c>
      <x:c r="S207" s="131" t="n">
        <x:f>IF(A207="","",IF(OR(N207="Paga",O207&gt;0),0,ROUND(IF(K207=0,0,G207*MAX(K207-L207,0)/K207)/(1+'Parâmetros'!$C$13)^((C207-$A$5)/30),2)))</x:f>
        <x:v>39.46</x:v>
      </x:c>
      <x:c r="T207" s="131" t="n">
        <x:f>IF(A207="","",0)</x:f>
        <x:v>0</x:v>
      </x:c>
      <x:c r="U207" s="131" t="n">
        <x:f>IF(A207="","",0)</x:f>
        <x:v>0</x:v>
      </x:c>
      <x:c r="V207" s="131" t="n">
        <x:f>IF(A207="","",IF(N207="Paga",0,IF(O207&gt;0,R207,S207)))</x:f>
        <x:v>39.46</x:v>
      </x:c>
      <x:c r="W207" s="131" t="n">
        <x:f>IF(A207="","",ROUND(MAX(D207-F207,0),2))</x:f>
        <x:v>697.14</x:v>
      </x:c>
      <x:c r="X207" s="131" t="n">
        <x:f>IF(A207="","",ROUND(SUM($G207:$G$407),2))</x:f>
        <x:v>790</x:v>
      </x:c>
      <x:c r="Y207" s="131" t="n">
        <x:f>IF(A207="","",ROUND(MAX(X207-D207,0),2))</x:f>
        <x:v>16.79</x:v>
      </x:c>
      <x:c r="Z207" s="131" t="n">
        <x:f>IF(A207="","",ROUND(SUM($V207:$V$407),2))</x:f>
        <x:v>387.88</x:v>
      </x:c>
      <x:c r="AA207" s="131" t="n">
        <x:f>IF(A207="","",ROUND(SUM($K207:$K$407)-Z207,2))</x:f>
        <x:v>4277.02</x:v>
      </x:c>
      <x:c r="AB207" s="77"/>
      <x:c r="AC207" s="36" t="str">
        <x:f>IF(A207="","",IF(O207&gt;0,"Vencido: saldo da fatura + mora",IF(O207&lt;=0,"Vincendo: VP da parcela financeira; comissão/proteção futuras isentas","")))</x:f>
        <x:v>Vincendo: VP da parcela financeira; comissão/proteção futuras isentas</x:v>
      </x:c>
    </x:row>
    <x:row r="208">
      <x:c r="A208" s="129" t="n">
        <x:f>IF(ROW()-7&lt;=Contrato!$C$16,ROW()-7,"")</x:f>
        <x:v>201</x:v>
      </x:c>
      <x:c r="B208" s="129" t="n">
        <x:f>IF(A208="","",Contrato!$C$16)</x:f>
        <x:v>209</x:v>
      </x:c>
      <x:c r="C208" s="130" t="n">
        <x:f>IF(A208="","",IF(AB208&lt;&gt;"",AB208,IF(Contrato!$C$14="Mensal",EDATE(Contrato!$C$13,A208-1),Contrato!$C$13+(A208-1)*IF(Contrato!$C$14="Quinzenal",14,IF(Contrato!$C$14="Semanal",7,1)))))</x:f>
        <x:v>47669</x:v>
      </x:c>
      <x:c r="D208" s="131" t="n">
        <x:f>IF(A208="","",W207)</x:f>
        <x:v>697.14</x:v>
      </x:c>
      <x:c r="E208" s="131" t="n">
        <x:f>IF(A208="","",ROUND(D208*Simulador!$I$18,2))</x:f>
        <x:v>2.75</x:v>
      </x:c>
      <x:c r="F208" s="131" t="n">
        <x:f>IF(A208="","",ROUND(MIN(D208,MAX(G208-E208,0)),2))</x:f>
        <x:v>76.37</x:v>
      </x:c>
      <x:c r="G208" s="131" t="n">
        <x:f>IF(A208="","",IF(A208&lt;Contrato!$C$16,Contrato!$C$27,Contrato!$C$28))</x:f>
        <x:v>79.12</x:v>
      </x:c>
      <x:c r="H208" s="131" t="n">
        <x:f>IF(A208="","",Contrato!$C$29)</x:f>
        <x:v>199.99</x:v>
      </x:c>
      <x:c r="I208" s="131" t="n">
        <x:f>IF(A208="","",Contrato!$C$30)</x:f>
        <x:v>187.5</x:v>
      </x:c>
      <x:c r="J208" s="131" t="n">
        <x:f>IF(A208="","",Contrato!$C$31)</x:f>
        <x:v>0</x:v>
      </x:c>
      <x:c r="K208" s="131" t="n">
        <x:f>IF(A208="","",ROUND(SUM(G208:J208),2))</x:f>
        <x:v>466.61</x:v>
      </x:c>
      <x:c r="L208" s="80"/>
      <x:c r="M208" s="77"/>
      <x:c r="N208" s="29" t="str">
        <x:f>IF(A208="","",IF(L208&gt;=K208,"Paga",IF(L208&gt;0,"Paga parcialmente",IF(C208&lt;$A$5,"Vencida","Prevista"))))</x:f>
        <x:v>Prevista</x:v>
      </x:c>
      <x:c r="O208" s="29" t="n">
        <x:f>IF(A208="","",$A$5-C208)</x:f>
        <x:v>-1409</x:v>
      </x:c>
      <x:c r="P208" s="131" t="n">
        <x:f>IF(A208="","",IF(AND(O208&gt;0,MAX(K208-L208,0)&gt;0,N208&lt;&gt;"Paga"),ROUND(MAX(K208-L208,0)*'Parâmetros'!$B$34,2),0))</x:f>
        <x:v>0</x:v>
      </x:c>
      <x:c r="Q208" s="131" t="n">
        <x:f>IF(A208="","",IF(AND(O208&gt;0,MAX(K208-L208,0)&gt;0,N208&lt;&gt;"Paga"),ROUND(MAX(K208-L208,0)*'Parâmetros'!$B$35*(O208/'Parâmetros'!$B$33),2),0))</x:f>
        <x:v>0</x:v>
      </x:c>
      <x:c r="R208" s="131" t="n">
        <x:f>IF(A208="","",IF(O208&gt;0,ROUND(MAX(K208-L208,0)+P208+Q208,2),0))</x:f>
        <x:v>0</x:v>
      </x:c>
      <x:c r="S208" s="131" t="n">
        <x:f>IF(A208="","",IF(OR(N208="Paga",O208&gt;0),0,ROUND(IF(K208=0,0,G208*MAX(K208-L208,0)/K208)/(1+'Parâmetros'!$C$13)^((C208-$A$5)/30),2)))</x:f>
        <x:v>39.32</x:v>
      </x:c>
      <x:c r="T208" s="131" t="n">
        <x:f>IF(A208="","",0)</x:f>
        <x:v>0</x:v>
      </x:c>
      <x:c r="U208" s="131" t="n">
        <x:f>IF(A208="","",0)</x:f>
        <x:v>0</x:v>
      </x:c>
      <x:c r="V208" s="131" t="n">
        <x:f>IF(A208="","",IF(N208="Paga",0,IF(O208&gt;0,R208,S208)))</x:f>
        <x:v>39.32</x:v>
      </x:c>
      <x:c r="W208" s="131" t="n">
        <x:f>IF(A208="","",ROUND(MAX(D208-F208,0),2))</x:f>
        <x:v>620.77</x:v>
      </x:c>
      <x:c r="X208" s="131" t="n">
        <x:f>IF(A208="","",ROUND(SUM($G208:$G$407),2))</x:f>
        <x:v>710.88</x:v>
      </x:c>
      <x:c r="Y208" s="131" t="n">
        <x:f>IF(A208="","",ROUND(MAX(X208-D208,0),2))</x:f>
        <x:v>13.74</x:v>
      </x:c>
      <x:c r="Z208" s="131" t="n">
        <x:f>IF(A208="","",ROUND(SUM($V208:$V$407),2))</x:f>
        <x:v>348.42</x:v>
      </x:c>
      <x:c r="AA208" s="131" t="n">
        <x:f>IF(A208="","",ROUND(SUM($K208:$K$407)-Z208,2))</x:f>
        <x:v>3849.87</x:v>
      </x:c>
      <x:c r="AB208" s="77"/>
      <x:c r="AC208" s="36" t="str">
        <x:f>IF(A208="","",IF(O208&gt;0,"Vencido: saldo da fatura + mora",IF(O208&lt;=0,"Vincendo: VP da parcela financeira; comissão/proteção futuras isentas","")))</x:f>
        <x:v>Vincendo: VP da parcela financeira; comissão/proteção futuras isentas</x:v>
      </x:c>
    </x:row>
    <x:row r="209">
      <x:c r="A209" s="129" t="n">
        <x:f>IF(ROW()-7&lt;=Contrato!$C$16,ROW()-7,"")</x:f>
        <x:v>202</x:v>
      </x:c>
      <x:c r="B209" s="129" t="n">
        <x:f>IF(A209="","",Contrato!$C$16)</x:f>
        <x:v>209</x:v>
      </x:c>
      <x:c r="C209" s="130" t="n">
        <x:f>IF(A209="","",IF(AB209&lt;&gt;"",AB209,IF(Contrato!$C$14="Mensal",EDATE(Contrato!$C$13,A209-1),Contrato!$C$13+(A209-1)*IF(Contrato!$C$14="Quinzenal",14,IF(Contrato!$C$14="Semanal",7,1)))))</x:f>
        <x:v>47676</x:v>
      </x:c>
      <x:c r="D209" s="131" t="n">
        <x:f>IF(A209="","",W208)</x:f>
        <x:v>620.77</x:v>
      </x:c>
      <x:c r="E209" s="131" t="n">
        <x:f>IF(A209="","",ROUND(D209*Simulador!$I$18,2))</x:f>
        <x:v>2.45</x:v>
      </x:c>
      <x:c r="F209" s="131" t="n">
        <x:f>IF(A209="","",ROUND(MIN(D209,MAX(G209-E209,0)),2))</x:f>
        <x:v>76.67</x:v>
      </x:c>
      <x:c r="G209" s="131" t="n">
        <x:f>IF(A209="","",IF(A209&lt;Contrato!$C$16,Contrato!$C$27,Contrato!$C$28))</x:f>
        <x:v>79.12</x:v>
      </x:c>
      <x:c r="H209" s="131" t="n">
        <x:f>IF(A209="","",Contrato!$C$29)</x:f>
        <x:v>199.99</x:v>
      </x:c>
      <x:c r="I209" s="131" t="n">
        <x:f>IF(A209="","",Contrato!$C$30)</x:f>
        <x:v>187.5</x:v>
      </x:c>
      <x:c r="J209" s="131" t="n">
        <x:f>IF(A209="","",Contrato!$C$31)</x:f>
        <x:v>0</x:v>
      </x:c>
      <x:c r="K209" s="131" t="n">
        <x:f>IF(A209="","",ROUND(SUM(G209:J209),2))</x:f>
        <x:v>466.61</x:v>
      </x:c>
      <x:c r="L209" s="80"/>
      <x:c r="M209" s="77"/>
      <x:c r="N209" s="29" t="str">
        <x:f>IF(A209="","",IF(L209&gt;=K209,"Paga",IF(L209&gt;0,"Paga parcialmente",IF(C209&lt;$A$5,"Vencida","Prevista"))))</x:f>
        <x:v>Prevista</x:v>
      </x:c>
      <x:c r="O209" s="29" t="n">
        <x:f>IF(A209="","",$A$5-C209)</x:f>
        <x:v>-1416</x:v>
      </x:c>
      <x:c r="P209" s="131" t="n">
        <x:f>IF(A209="","",IF(AND(O209&gt;0,MAX(K209-L209,0)&gt;0,N209&lt;&gt;"Paga"),ROUND(MAX(K209-L209,0)*'Parâmetros'!$B$34,2),0))</x:f>
        <x:v>0</x:v>
      </x:c>
      <x:c r="Q209" s="131" t="n">
        <x:f>IF(A209="","",IF(AND(O209&gt;0,MAX(K209-L209,0)&gt;0,N209&lt;&gt;"Paga"),ROUND(MAX(K209-L209,0)*'Parâmetros'!$B$35*(O209/'Parâmetros'!$B$33),2),0))</x:f>
        <x:v>0</x:v>
      </x:c>
      <x:c r="R209" s="131" t="n">
        <x:f>IF(A209="","",IF(O209&gt;0,ROUND(MAX(K209-L209,0)+P209+Q209,2),0))</x:f>
        <x:v>0</x:v>
      </x:c>
      <x:c r="S209" s="131" t="n">
        <x:f>IF(A209="","",IF(OR(N209="Paga",O209&gt;0),0,ROUND(IF(K209=0,0,G209*MAX(K209-L209,0)/K209)/(1+'Parâmetros'!$C$13)^((C209-$A$5)/30),2)))</x:f>
        <x:v>39.18</x:v>
      </x:c>
      <x:c r="T209" s="131" t="n">
        <x:f>IF(A209="","",0)</x:f>
        <x:v>0</x:v>
      </x:c>
      <x:c r="U209" s="131" t="n">
        <x:f>IF(A209="","",0)</x:f>
        <x:v>0</x:v>
      </x:c>
      <x:c r="V209" s="131" t="n">
        <x:f>IF(A209="","",IF(N209="Paga",0,IF(O209&gt;0,R209,S209)))</x:f>
        <x:v>39.18</x:v>
      </x:c>
      <x:c r="W209" s="131" t="n">
        <x:f>IF(A209="","",ROUND(MAX(D209-F209,0),2))</x:f>
        <x:v>544.1</x:v>
      </x:c>
      <x:c r="X209" s="131" t="n">
        <x:f>IF(A209="","",ROUND(SUM($G209:$G$407),2))</x:f>
        <x:v>631.76</x:v>
      </x:c>
      <x:c r="Y209" s="131" t="n">
        <x:f>IF(A209="","",ROUND(MAX(X209-D209,0),2))</x:f>
        <x:v>10.99</x:v>
      </x:c>
      <x:c r="Z209" s="131" t="n">
        <x:f>IF(A209="","",ROUND(SUM($V209:$V$407),2))</x:f>
        <x:v>309.1</x:v>
      </x:c>
      <x:c r="AA209" s="131" t="n">
        <x:f>IF(A209="","",ROUND(SUM($K209:$K$407)-Z209,2))</x:f>
        <x:v>3422.58</x:v>
      </x:c>
      <x:c r="AB209" s="77"/>
      <x:c r="AC209" s="36" t="str">
        <x:f>IF(A209="","",IF(O209&gt;0,"Vencido: saldo da fatura + mora",IF(O209&lt;=0,"Vincendo: VP da parcela financeira; comissão/proteção futuras isentas","")))</x:f>
        <x:v>Vincendo: VP da parcela financeira; comissão/proteção futuras isentas</x:v>
      </x:c>
    </x:row>
    <x:row r="210">
      <x:c r="A210" s="129" t="n">
        <x:f>IF(ROW()-7&lt;=Contrato!$C$16,ROW()-7,"")</x:f>
        <x:v>203</x:v>
      </x:c>
      <x:c r="B210" s="129" t="n">
        <x:f>IF(A210="","",Contrato!$C$16)</x:f>
        <x:v>209</x:v>
      </x:c>
      <x:c r="C210" s="130" t="n">
        <x:f>IF(A210="","",IF(AB210&lt;&gt;"",AB210,IF(Contrato!$C$14="Mensal",EDATE(Contrato!$C$13,A210-1),Contrato!$C$13+(A210-1)*IF(Contrato!$C$14="Quinzenal",14,IF(Contrato!$C$14="Semanal",7,1)))))</x:f>
        <x:v>47683</x:v>
      </x:c>
      <x:c r="D210" s="131" t="n">
        <x:f>IF(A210="","",W209)</x:f>
        <x:v>544.1</x:v>
      </x:c>
      <x:c r="E210" s="131" t="n">
        <x:f>IF(A210="","",ROUND(D210*Simulador!$I$18,2))</x:f>
        <x:v>2.14</x:v>
      </x:c>
      <x:c r="F210" s="131" t="n">
        <x:f>IF(A210="","",ROUND(MIN(D210,MAX(G210-E210,0)),2))</x:f>
        <x:v>76.98</x:v>
      </x:c>
      <x:c r="G210" s="131" t="n">
        <x:f>IF(A210="","",IF(A210&lt;Contrato!$C$16,Contrato!$C$27,Contrato!$C$28))</x:f>
        <x:v>79.12</x:v>
      </x:c>
      <x:c r="H210" s="131" t="n">
        <x:f>IF(A210="","",Contrato!$C$29)</x:f>
        <x:v>199.99</x:v>
      </x:c>
      <x:c r="I210" s="131" t="n">
        <x:f>IF(A210="","",Contrato!$C$30)</x:f>
        <x:v>187.5</x:v>
      </x:c>
      <x:c r="J210" s="131" t="n">
        <x:f>IF(A210="","",Contrato!$C$31)</x:f>
        <x:v>0</x:v>
      </x:c>
      <x:c r="K210" s="131" t="n">
        <x:f>IF(A210="","",ROUND(SUM(G210:J210),2))</x:f>
        <x:v>466.61</x:v>
      </x:c>
      <x:c r="L210" s="80"/>
      <x:c r="M210" s="77"/>
      <x:c r="N210" s="29" t="str">
        <x:f>IF(A210="","",IF(L210&gt;=K210,"Paga",IF(L210&gt;0,"Paga parcialmente",IF(C210&lt;$A$5,"Vencida","Prevista"))))</x:f>
        <x:v>Prevista</x:v>
      </x:c>
      <x:c r="O210" s="29" t="n">
        <x:f>IF(A210="","",$A$5-C210)</x:f>
        <x:v>-1423</x:v>
      </x:c>
      <x:c r="P210" s="131" t="n">
        <x:f>IF(A210="","",IF(AND(O210&gt;0,MAX(K210-L210,0)&gt;0,N210&lt;&gt;"Paga"),ROUND(MAX(K210-L210,0)*'Parâmetros'!$B$34,2),0))</x:f>
        <x:v>0</x:v>
      </x:c>
      <x:c r="Q210" s="131" t="n">
        <x:f>IF(A210="","",IF(AND(O210&gt;0,MAX(K210-L210,0)&gt;0,N210&lt;&gt;"Paga"),ROUND(MAX(K210-L210,0)*'Parâmetros'!$B$35*(O210/'Parâmetros'!$B$33),2),0))</x:f>
        <x:v>0</x:v>
      </x:c>
      <x:c r="R210" s="131" t="n">
        <x:f>IF(A210="","",IF(O210&gt;0,ROUND(MAX(K210-L210,0)+P210+Q210,2),0))</x:f>
        <x:v>0</x:v>
      </x:c>
      <x:c r="S210" s="131" t="n">
        <x:f>IF(A210="","",IF(OR(N210="Paga",O210&gt;0),0,ROUND(IF(K210=0,0,G210*MAX(K210-L210,0)/K210)/(1+'Parâmetros'!$C$13)^((C210-$A$5)/30),2)))</x:f>
        <x:v>39.05</x:v>
      </x:c>
      <x:c r="T210" s="131" t="n">
        <x:f>IF(A210="","",0)</x:f>
        <x:v>0</x:v>
      </x:c>
      <x:c r="U210" s="131" t="n">
        <x:f>IF(A210="","",0)</x:f>
        <x:v>0</x:v>
      </x:c>
      <x:c r="V210" s="131" t="n">
        <x:f>IF(A210="","",IF(N210="Paga",0,IF(O210&gt;0,R210,S210)))</x:f>
        <x:v>39.05</x:v>
      </x:c>
      <x:c r="W210" s="131" t="n">
        <x:f>IF(A210="","",ROUND(MAX(D210-F210,0),2))</x:f>
        <x:v>467.12</x:v>
      </x:c>
      <x:c r="X210" s="131" t="n">
        <x:f>IF(A210="","",ROUND(SUM($G210:$G$407),2))</x:f>
        <x:v>552.64</x:v>
      </x:c>
      <x:c r="Y210" s="131" t="n">
        <x:f>IF(A210="","",ROUND(MAX(X210-D210,0),2))</x:f>
        <x:v>8.54</x:v>
      </x:c>
      <x:c r="Z210" s="131" t="n">
        <x:f>IF(A210="","",ROUND(SUM($V210:$V$407),2))</x:f>
        <x:v>269.92</x:v>
      </x:c>
      <x:c r="AA210" s="131" t="n">
        <x:f>IF(A210="","",ROUND(SUM($K210:$K$407)-Z210,2))</x:f>
        <x:v>2995.15</x:v>
      </x:c>
      <x:c r="AB210" s="77"/>
      <x:c r="AC210" s="36" t="str">
        <x:f>IF(A210="","",IF(O210&gt;0,"Vencido: saldo da fatura + mora",IF(O210&lt;=0,"Vincendo: VP da parcela financeira; comissão/proteção futuras isentas","")))</x:f>
        <x:v>Vincendo: VP da parcela financeira; comissão/proteção futuras isentas</x:v>
      </x:c>
    </x:row>
    <x:row r="211">
      <x:c r="A211" s="129" t="n">
        <x:f>IF(ROW()-7&lt;=Contrato!$C$16,ROW()-7,"")</x:f>
        <x:v>204</x:v>
      </x:c>
      <x:c r="B211" s="129" t="n">
        <x:f>IF(A211="","",Contrato!$C$16)</x:f>
        <x:v>209</x:v>
      </x:c>
      <x:c r="C211" s="130" t="n">
        <x:f>IF(A211="","",IF(AB211&lt;&gt;"",AB211,IF(Contrato!$C$14="Mensal",EDATE(Contrato!$C$13,A211-1),Contrato!$C$13+(A211-1)*IF(Contrato!$C$14="Quinzenal",14,IF(Contrato!$C$14="Semanal",7,1)))))</x:f>
        <x:v>47690</x:v>
      </x:c>
      <x:c r="D211" s="131" t="n">
        <x:f>IF(A211="","",W210)</x:f>
        <x:v>467.12</x:v>
      </x:c>
      <x:c r="E211" s="131" t="n">
        <x:f>IF(A211="","",ROUND(D211*Simulador!$I$18,2))</x:f>
        <x:v>1.84</x:v>
      </x:c>
      <x:c r="F211" s="131" t="n">
        <x:f>IF(A211="","",ROUND(MIN(D211,MAX(G211-E211,0)),2))</x:f>
        <x:v>77.28</x:v>
      </x:c>
      <x:c r="G211" s="131" t="n">
        <x:f>IF(A211="","",IF(A211&lt;Contrato!$C$16,Contrato!$C$27,Contrato!$C$28))</x:f>
        <x:v>79.12</x:v>
      </x:c>
      <x:c r="H211" s="131" t="n">
        <x:f>IF(A211="","",Contrato!$C$29)</x:f>
        <x:v>199.99</x:v>
      </x:c>
      <x:c r="I211" s="131" t="n">
        <x:f>IF(A211="","",Contrato!$C$30)</x:f>
        <x:v>187.5</x:v>
      </x:c>
      <x:c r="J211" s="131" t="n">
        <x:f>IF(A211="","",Contrato!$C$31)</x:f>
        <x:v>0</x:v>
      </x:c>
      <x:c r="K211" s="131" t="n">
        <x:f>IF(A211="","",ROUND(SUM(G211:J211),2))</x:f>
        <x:v>466.61</x:v>
      </x:c>
      <x:c r="L211" s="80"/>
      <x:c r="M211" s="77"/>
      <x:c r="N211" s="29" t="str">
        <x:f>IF(A211="","",IF(L211&gt;=K211,"Paga",IF(L211&gt;0,"Paga parcialmente",IF(C211&lt;$A$5,"Vencida","Prevista"))))</x:f>
        <x:v>Prevista</x:v>
      </x:c>
      <x:c r="O211" s="29" t="n">
        <x:f>IF(A211="","",$A$5-C211)</x:f>
        <x:v>-1430</x:v>
      </x:c>
      <x:c r="P211" s="131" t="n">
        <x:f>IF(A211="","",IF(AND(O211&gt;0,MAX(K211-L211,0)&gt;0,N211&lt;&gt;"Paga"),ROUND(MAX(K211-L211,0)*'Parâmetros'!$B$34,2),0))</x:f>
        <x:v>0</x:v>
      </x:c>
      <x:c r="Q211" s="131" t="n">
        <x:f>IF(A211="","",IF(AND(O211&gt;0,MAX(K211-L211,0)&gt;0,N211&lt;&gt;"Paga"),ROUND(MAX(K211-L211,0)*'Parâmetros'!$B$35*(O211/'Parâmetros'!$B$33),2),0))</x:f>
        <x:v>0</x:v>
      </x:c>
      <x:c r="R211" s="131" t="n">
        <x:f>IF(A211="","",IF(O211&gt;0,ROUND(MAX(K211-L211,0)+P211+Q211,2),0))</x:f>
        <x:v>0</x:v>
      </x:c>
      <x:c r="S211" s="131" t="n">
        <x:f>IF(A211="","",IF(OR(N211="Paga",O211&gt;0),0,ROUND(IF(K211=0,0,G211*MAX(K211-L211,0)/K211)/(1+'Parâmetros'!$C$13)^((C211-$A$5)/30),2)))</x:f>
        <x:v>38.91</x:v>
      </x:c>
      <x:c r="T211" s="131" t="n">
        <x:f>IF(A211="","",0)</x:f>
        <x:v>0</x:v>
      </x:c>
      <x:c r="U211" s="131" t="n">
        <x:f>IF(A211="","",0)</x:f>
        <x:v>0</x:v>
      </x:c>
      <x:c r="V211" s="131" t="n">
        <x:f>IF(A211="","",IF(N211="Paga",0,IF(O211&gt;0,R211,S211)))</x:f>
        <x:v>38.91</x:v>
      </x:c>
      <x:c r="W211" s="131" t="n">
        <x:f>IF(A211="","",ROUND(MAX(D211-F211,0),2))</x:f>
        <x:v>389.84</x:v>
      </x:c>
      <x:c r="X211" s="131" t="n">
        <x:f>IF(A211="","",ROUND(SUM($G211:$G$407),2))</x:f>
        <x:v>473.52</x:v>
      </x:c>
      <x:c r="Y211" s="131" t="n">
        <x:f>IF(A211="","",ROUND(MAX(X211-D211,0),2))</x:f>
        <x:v>6.4</x:v>
      </x:c>
      <x:c r="Z211" s="131" t="n">
        <x:f>IF(A211="","",ROUND(SUM($V211:$V$407),2))</x:f>
        <x:v>230.87</x:v>
      </x:c>
      <x:c r="AA211" s="131" t="n">
        <x:f>IF(A211="","",ROUND(SUM($K211:$K$407)-Z211,2))</x:f>
        <x:v>2567.59</x:v>
      </x:c>
      <x:c r="AB211" s="77"/>
      <x:c r="AC211" s="36" t="str">
        <x:f>IF(A211="","",IF(O211&gt;0,"Vencido: saldo da fatura + mora",IF(O211&lt;=0,"Vincendo: VP da parcela financeira; comissão/proteção futuras isentas","")))</x:f>
        <x:v>Vincendo: VP da parcela financeira; comissão/proteção futuras isentas</x:v>
      </x:c>
    </x:row>
    <x:row r="212">
      <x:c r="A212" s="129" t="n">
        <x:f>IF(ROW()-7&lt;=Contrato!$C$16,ROW()-7,"")</x:f>
        <x:v>205</x:v>
      </x:c>
      <x:c r="B212" s="129" t="n">
        <x:f>IF(A212="","",Contrato!$C$16)</x:f>
        <x:v>209</x:v>
      </x:c>
      <x:c r="C212" s="130" t="n">
        <x:f>IF(A212="","",IF(AB212&lt;&gt;"",AB212,IF(Contrato!$C$14="Mensal",EDATE(Contrato!$C$13,A212-1),Contrato!$C$13+(A212-1)*IF(Contrato!$C$14="Quinzenal",14,IF(Contrato!$C$14="Semanal",7,1)))))</x:f>
        <x:v>47697</x:v>
      </x:c>
      <x:c r="D212" s="131" t="n">
        <x:f>IF(A212="","",W211)</x:f>
        <x:v>389.84</x:v>
      </x:c>
      <x:c r="E212" s="131" t="n">
        <x:f>IF(A212="","",ROUND(D212*Simulador!$I$18,2))</x:f>
        <x:v>1.54</x:v>
      </x:c>
      <x:c r="F212" s="131" t="n">
        <x:f>IF(A212="","",ROUND(MIN(D212,MAX(G212-E212,0)),2))</x:f>
        <x:v>77.58</x:v>
      </x:c>
      <x:c r="G212" s="131" t="n">
        <x:f>IF(A212="","",IF(A212&lt;Contrato!$C$16,Contrato!$C$27,Contrato!$C$28))</x:f>
        <x:v>79.12</x:v>
      </x:c>
      <x:c r="H212" s="131" t="n">
        <x:f>IF(A212="","",Contrato!$C$29)</x:f>
        <x:v>199.99</x:v>
      </x:c>
      <x:c r="I212" s="131" t="n">
        <x:f>IF(A212="","",Contrato!$C$30)</x:f>
        <x:v>187.5</x:v>
      </x:c>
      <x:c r="J212" s="131" t="n">
        <x:f>IF(A212="","",Contrato!$C$31)</x:f>
        <x:v>0</x:v>
      </x:c>
      <x:c r="K212" s="131" t="n">
        <x:f>IF(A212="","",ROUND(SUM(G212:J212),2))</x:f>
        <x:v>466.61</x:v>
      </x:c>
      <x:c r="L212" s="80"/>
      <x:c r="M212" s="77"/>
      <x:c r="N212" s="29" t="str">
        <x:f>IF(A212="","",IF(L212&gt;=K212,"Paga",IF(L212&gt;0,"Paga parcialmente",IF(C212&lt;$A$5,"Vencida","Prevista"))))</x:f>
        <x:v>Prevista</x:v>
      </x:c>
      <x:c r="O212" s="29" t="n">
        <x:f>IF(A212="","",$A$5-C212)</x:f>
        <x:v>-1437</x:v>
      </x:c>
      <x:c r="P212" s="131" t="n">
        <x:f>IF(A212="","",IF(AND(O212&gt;0,MAX(K212-L212,0)&gt;0,N212&lt;&gt;"Paga"),ROUND(MAX(K212-L212,0)*'Parâmetros'!$B$34,2),0))</x:f>
        <x:v>0</x:v>
      </x:c>
      <x:c r="Q212" s="131" t="n">
        <x:f>IF(A212="","",IF(AND(O212&gt;0,MAX(K212-L212,0)&gt;0,N212&lt;&gt;"Paga"),ROUND(MAX(K212-L212,0)*'Parâmetros'!$B$35*(O212/'Parâmetros'!$B$33),2),0))</x:f>
        <x:v>0</x:v>
      </x:c>
      <x:c r="R212" s="131" t="n">
        <x:f>IF(A212="","",IF(O212&gt;0,ROUND(MAX(K212-L212,0)+P212+Q212,2),0))</x:f>
        <x:v>0</x:v>
      </x:c>
      <x:c r="S212" s="131" t="n">
        <x:f>IF(A212="","",IF(OR(N212="Paga",O212&gt;0),0,ROUND(IF(K212=0,0,G212*MAX(K212-L212,0)/K212)/(1+'Parâmetros'!$C$13)^((C212-$A$5)/30),2)))</x:f>
        <x:v>38.78</x:v>
      </x:c>
      <x:c r="T212" s="131" t="n">
        <x:f>IF(A212="","",0)</x:f>
        <x:v>0</x:v>
      </x:c>
      <x:c r="U212" s="131" t="n">
        <x:f>IF(A212="","",0)</x:f>
        <x:v>0</x:v>
      </x:c>
      <x:c r="V212" s="131" t="n">
        <x:f>IF(A212="","",IF(N212="Paga",0,IF(O212&gt;0,R212,S212)))</x:f>
        <x:v>38.78</x:v>
      </x:c>
      <x:c r="W212" s="131" t="n">
        <x:f>IF(A212="","",ROUND(MAX(D212-F212,0),2))</x:f>
        <x:v>312.26</x:v>
      </x:c>
      <x:c r="X212" s="131" t="n">
        <x:f>IF(A212="","",ROUND(SUM($G212:$G$407),2))</x:f>
        <x:v>394.4</x:v>
      </x:c>
      <x:c r="Y212" s="131" t="n">
        <x:f>IF(A212="","",ROUND(MAX(X212-D212,0),2))</x:f>
        <x:v>4.56</x:v>
      </x:c>
      <x:c r="Z212" s="131" t="n">
        <x:f>IF(A212="","",ROUND(SUM($V212:$V$407),2))</x:f>
        <x:v>191.96</x:v>
      </x:c>
      <x:c r="AA212" s="131" t="n">
        <x:f>IF(A212="","",ROUND(SUM($K212:$K$407)-Z212,2))</x:f>
        <x:v>2139.89</x:v>
      </x:c>
      <x:c r="AB212" s="77"/>
      <x:c r="AC212" s="36" t="str">
        <x:f>IF(A212="","",IF(O212&gt;0,"Vencido: saldo da fatura + mora",IF(O212&lt;=0,"Vincendo: VP da parcela financeira; comissão/proteção futuras isentas","")))</x:f>
        <x:v>Vincendo: VP da parcela financeira; comissão/proteção futuras isentas</x:v>
      </x:c>
    </x:row>
    <x:row r="213">
      <x:c r="A213" s="129" t="n">
        <x:f>IF(ROW()-7&lt;=Contrato!$C$16,ROW()-7,"")</x:f>
        <x:v>206</x:v>
      </x:c>
      <x:c r="B213" s="129" t="n">
        <x:f>IF(A213="","",Contrato!$C$16)</x:f>
        <x:v>209</x:v>
      </x:c>
      <x:c r="C213" s="130" t="n">
        <x:f>IF(A213="","",IF(AB213&lt;&gt;"",AB213,IF(Contrato!$C$14="Mensal",EDATE(Contrato!$C$13,A213-1),Contrato!$C$13+(A213-1)*IF(Contrato!$C$14="Quinzenal",14,IF(Contrato!$C$14="Semanal",7,1)))))</x:f>
        <x:v>47704</x:v>
      </x:c>
      <x:c r="D213" s="131" t="n">
        <x:f>IF(A213="","",W212)</x:f>
        <x:v>312.26</x:v>
      </x:c>
      <x:c r="E213" s="131" t="n">
        <x:f>IF(A213="","",ROUND(D213*Simulador!$I$18,2))</x:f>
        <x:v>1.23</x:v>
      </x:c>
      <x:c r="F213" s="131" t="n">
        <x:f>IF(A213="","",ROUND(MIN(D213,MAX(G213-E213,0)),2))</x:f>
        <x:v>77.89</x:v>
      </x:c>
      <x:c r="G213" s="131" t="n">
        <x:f>IF(A213="","",IF(A213&lt;Contrato!$C$16,Contrato!$C$27,Contrato!$C$28))</x:f>
        <x:v>79.12</x:v>
      </x:c>
      <x:c r="H213" s="131" t="n">
        <x:f>IF(A213="","",Contrato!$C$29)</x:f>
        <x:v>199.99</x:v>
      </x:c>
      <x:c r="I213" s="131" t="n">
        <x:f>IF(A213="","",Contrato!$C$30)</x:f>
        <x:v>187.5</x:v>
      </x:c>
      <x:c r="J213" s="131" t="n">
        <x:f>IF(A213="","",Contrato!$C$31)</x:f>
        <x:v>0</x:v>
      </x:c>
      <x:c r="K213" s="131" t="n">
        <x:f>IF(A213="","",ROUND(SUM(G213:J213),2))</x:f>
        <x:v>466.61</x:v>
      </x:c>
      <x:c r="L213" s="80"/>
      <x:c r="M213" s="77"/>
      <x:c r="N213" s="29" t="str">
        <x:f>IF(A213="","",IF(L213&gt;=K213,"Paga",IF(L213&gt;0,"Paga parcialmente",IF(C213&lt;$A$5,"Vencida","Prevista"))))</x:f>
        <x:v>Prevista</x:v>
      </x:c>
      <x:c r="O213" s="29" t="n">
        <x:f>IF(A213="","",$A$5-C213)</x:f>
        <x:v>-1444</x:v>
      </x:c>
      <x:c r="P213" s="131" t="n">
        <x:f>IF(A213="","",IF(AND(O213&gt;0,MAX(K213-L213,0)&gt;0,N213&lt;&gt;"Paga"),ROUND(MAX(K213-L213,0)*'Parâmetros'!$B$34,2),0))</x:f>
        <x:v>0</x:v>
      </x:c>
      <x:c r="Q213" s="131" t="n">
        <x:f>IF(A213="","",IF(AND(O213&gt;0,MAX(K213-L213,0)&gt;0,N213&lt;&gt;"Paga"),ROUND(MAX(K213-L213,0)*'Parâmetros'!$B$35*(O213/'Parâmetros'!$B$33),2),0))</x:f>
        <x:v>0</x:v>
      </x:c>
      <x:c r="R213" s="131" t="n">
        <x:f>IF(A213="","",IF(O213&gt;0,ROUND(MAX(K213-L213,0)+P213+Q213,2),0))</x:f>
        <x:v>0</x:v>
      </x:c>
      <x:c r="S213" s="131" t="n">
        <x:f>IF(A213="","",IF(OR(N213="Paga",O213&gt;0),0,ROUND(IF(K213=0,0,G213*MAX(K213-L213,0)/K213)/(1+'Parâmetros'!$C$13)^((C213-$A$5)/30),2)))</x:f>
        <x:v>38.64</x:v>
      </x:c>
      <x:c r="T213" s="131" t="n">
        <x:f>IF(A213="","",0)</x:f>
        <x:v>0</x:v>
      </x:c>
      <x:c r="U213" s="131" t="n">
        <x:f>IF(A213="","",0)</x:f>
        <x:v>0</x:v>
      </x:c>
      <x:c r="V213" s="131" t="n">
        <x:f>IF(A213="","",IF(N213="Paga",0,IF(O213&gt;0,R213,S213)))</x:f>
        <x:v>38.64</x:v>
      </x:c>
      <x:c r="W213" s="131" t="n">
        <x:f>IF(A213="","",ROUND(MAX(D213-F213,0),2))</x:f>
        <x:v>234.37</x:v>
      </x:c>
      <x:c r="X213" s="131" t="n">
        <x:f>IF(A213="","",ROUND(SUM($G213:$G$407),2))</x:f>
        <x:v>315.28</x:v>
      </x:c>
      <x:c r="Y213" s="131" t="n">
        <x:f>IF(A213="","",ROUND(MAX(X213-D213,0),2))</x:f>
        <x:v>3.02</x:v>
      </x:c>
      <x:c r="Z213" s="131" t="n">
        <x:f>IF(A213="","",ROUND(SUM($V213:$V$407),2))</x:f>
        <x:v>153.18</x:v>
      </x:c>
      <x:c r="AA213" s="131" t="n">
        <x:f>IF(A213="","",ROUND(SUM($K213:$K$407)-Z213,2))</x:f>
        <x:v>1712.06</x:v>
      </x:c>
      <x:c r="AB213" s="77"/>
      <x:c r="AC213" s="36" t="str">
        <x:f>IF(A213="","",IF(O213&gt;0,"Vencido: saldo da fatura + mora",IF(O213&lt;=0,"Vincendo: VP da parcela financeira; comissão/proteção futuras isentas","")))</x:f>
        <x:v>Vincendo: VP da parcela financeira; comissão/proteção futuras isentas</x:v>
      </x:c>
    </x:row>
    <x:row r="214">
      <x:c r="A214" s="129" t="n">
        <x:f>IF(ROW()-7&lt;=Contrato!$C$16,ROW()-7,"")</x:f>
        <x:v>207</x:v>
      </x:c>
      <x:c r="B214" s="129" t="n">
        <x:f>IF(A214="","",Contrato!$C$16)</x:f>
        <x:v>209</x:v>
      </x:c>
      <x:c r="C214" s="130" t="n">
        <x:f>IF(A214="","",IF(AB214&lt;&gt;"",AB214,IF(Contrato!$C$14="Mensal",EDATE(Contrato!$C$13,A214-1),Contrato!$C$13+(A214-1)*IF(Contrato!$C$14="Quinzenal",14,IF(Contrato!$C$14="Semanal",7,1)))))</x:f>
        <x:v>47711</x:v>
      </x:c>
      <x:c r="D214" s="131" t="n">
        <x:f>IF(A214="","",W213)</x:f>
        <x:v>234.37</x:v>
      </x:c>
      <x:c r="E214" s="131" t="n">
        <x:f>IF(A214="","",ROUND(D214*Simulador!$I$18,2))</x:f>
        <x:v>0.92</x:v>
      </x:c>
      <x:c r="F214" s="131" t="n">
        <x:f>IF(A214="","",ROUND(MIN(D214,MAX(G214-E214,0)),2))</x:f>
        <x:v>78.2</x:v>
      </x:c>
      <x:c r="G214" s="131" t="n">
        <x:f>IF(A214="","",IF(A214&lt;Contrato!$C$16,Contrato!$C$27,Contrato!$C$28))</x:f>
        <x:v>79.12</x:v>
      </x:c>
      <x:c r="H214" s="131" t="n">
        <x:f>IF(A214="","",Contrato!$C$29)</x:f>
        <x:v>199.99</x:v>
      </x:c>
      <x:c r="I214" s="131" t="n">
        <x:f>IF(A214="","",Contrato!$C$30)</x:f>
        <x:v>187.5</x:v>
      </x:c>
      <x:c r="J214" s="131" t="n">
        <x:f>IF(A214="","",Contrato!$C$31)</x:f>
        <x:v>0</x:v>
      </x:c>
      <x:c r="K214" s="131" t="n">
        <x:f>IF(A214="","",ROUND(SUM(G214:J214),2))</x:f>
        <x:v>466.61</x:v>
      </x:c>
      <x:c r="L214" s="80"/>
      <x:c r="M214" s="77"/>
      <x:c r="N214" s="29" t="str">
        <x:f>IF(A214="","",IF(L214&gt;=K214,"Paga",IF(L214&gt;0,"Paga parcialmente",IF(C214&lt;$A$5,"Vencida","Prevista"))))</x:f>
        <x:v>Prevista</x:v>
      </x:c>
      <x:c r="O214" s="29" t="n">
        <x:f>IF(A214="","",$A$5-C214)</x:f>
        <x:v>-1451</x:v>
      </x:c>
      <x:c r="P214" s="131" t="n">
        <x:f>IF(A214="","",IF(AND(O214&gt;0,MAX(K214-L214,0)&gt;0,N214&lt;&gt;"Paga"),ROUND(MAX(K214-L214,0)*'Parâmetros'!$B$34,2),0))</x:f>
        <x:v>0</x:v>
      </x:c>
      <x:c r="Q214" s="131" t="n">
        <x:f>IF(A214="","",IF(AND(O214&gt;0,MAX(K214-L214,0)&gt;0,N214&lt;&gt;"Paga"),ROUND(MAX(K214-L214,0)*'Parâmetros'!$B$35*(O214/'Parâmetros'!$B$33),2),0))</x:f>
        <x:v>0</x:v>
      </x:c>
      <x:c r="R214" s="131" t="n">
        <x:f>IF(A214="","",IF(O214&gt;0,ROUND(MAX(K214-L214,0)+P214+Q214,2),0))</x:f>
        <x:v>0</x:v>
      </x:c>
      <x:c r="S214" s="131" t="n">
        <x:f>IF(A214="","",IF(OR(N214="Paga",O214&gt;0),0,ROUND(IF(K214=0,0,G214*MAX(K214-L214,0)/K214)/(1+'Parâmetros'!$C$13)^((C214-$A$5)/30),2)))</x:f>
        <x:v>38.51</x:v>
      </x:c>
      <x:c r="T214" s="131" t="n">
        <x:f>IF(A214="","",0)</x:f>
        <x:v>0</x:v>
      </x:c>
      <x:c r="U214" s="131" t="n">
        <x:f>IF(A214="","",0)</x:f>
        <x:v>0</x:v>
      </x:c>
      <x:c r="V214" s="131" t="n">
        <x:f>IF(A214="","",IF(N214="Paga",0,IF(O214&gt;0,R214,S214)))</x:f>
        <x:v>38.51</x:v>
      </x:c>
      <x:c r="W214" s="131" t="n">
        <x:f>IF(A214="","",ROUND(MAX(D214-F214,0),2))</x:f>
        <x:v>156.17</x:v>
      </x:c>
      <x:c r="X214" s="131" t="n">
        <x:f>IF(A214="","",ROUND(SUM($G214:$G$407),2))</x:f>
        <x:v>236.16</x:v>
      </x:c>
      <x:c r="Y214" s="131" t="n">
        <x:f>IF(A214="","",ROUND(MAX(X214-D214,0),2))</x:f>
        <x:v>1.79</x:v>
      </x:c>
      <x:c r="Z214" s="131" t="n">
        <x:f>IF(A214="","",ROUND(SUM($V214:$V$407),2))</x:f>
        <x:v>114.54</x:v>
      </x:c>
      <x:c r="AA214" s="131" t="n">
        <x:f>IF(A214="","",ROUND(SUM($K214:$K$407)-Z214,2))</x:f>
        <x:v>1284.09</x:v>
      </x:c>
      <x:c r="AB214" s="77"/>
      <x:c r="AC214" s="36" t="str">
        <x:f>IF(A214="","",IF(O214&gt;0,"Vencido: saldo da fatura + mora",IF(O214&lt;=0,"Vincendo: VP da parcela financeira; comissão/proteção futuras isentas","")))</x:f>
        <x:v>Vincendo: VP da parcela financeira; comissão/proteção futuras isentas</x:v>
      </x:c>
    </x:row>
    <x:row r="215">
      <x:c r="A215" s="129" t="n">
        <x:f>IF(ROW()-7&lt;=Contrato!$C$16,ROW()-7,"")</x:f>
        <x:v>208</x:v>
      </x:c>
      <x:c r="B215" s="129" t="n">
        <x:f>IF(A215="","",Contrato!$C$16)</x:f>
        <x:v>209</x:v>
      </x:c>
      <x:c r="C215" s="130" t="n">
        <x:f>IF(A215="","",IF(AB215&lt;&gt;"",AB215,IF(Contrato!$C$14="Mensal",EDATE(Contrato!$C$13,A215-1),Contrato!$C$13+(A215-1)*IF(Contrato!$C$14="Quinzenal",14,IF(Contrato!$C$14="Semanal",7,1)))))</x:f>
        <x:v>47718</x:v>
      </x:c>
      <x:c r="D215" s="131" t="n">
        <x:f>IF(A215="","",W214)</x:f>
        <x:v>156.17</x:v>
      </x:c>
      <x:c r="E215" s="131" t="n">
        <x:f>IF(A215="","",ROUND(D215*Simulador!$I$18,2))</x:f>
        <x:v>0.62</x:v>
      </x:c>
      <x:c r="F215" s="131" t="n">
        <x:f>IF(A215="","",ROUND(MIN(D215,MAX(G215-E215,0)),2))</x:f>
        <x:v>78.5</x:v>
      </x:c>
      <x:c r="G215" s="131" t="n">
        <x:f>IF(A215="","",IF(A215&lt;Contrato!$C$16,Contrato!$C$27,Contrato!$C$28))</x:f>
        <x:v>79.12</x:v>
      </x:c>
      <x:c r="H215" s="131" t="n">
        <x:f>IF(A215="","",Contrato!$C$29)</x:f>
        <x:v>199.99</x:v>
      </x:c>
      <x:c r="I215" s="131" t="n">
        <x:f>IF(A215="","",Contrato!$C$30)</x:f>
        <x:v>187.5</x:v>
      </x:c>
      <x:c r="J215" s="131" t="n">
        <x:f>IF(A215="","",Contrato!$C$31)</x:f>
        <x:v>0</x:v>
      </x:c>
      <x:c r="K215" s="131" t="n">
        <x:f>IF(A215="","",ROUND(SUM(G215:J215),2))</x:f>
        <x:v>466.61</x:v>
      </x:c>
      <x:c r="L215" s="80"/>
      <x:c r="M215" s="77"/>
      <x:c r="N215" s="29" t="str">
        <x:f>IF(A215="","",IF(L215&gt;=K215,"Paga",IF(L215&gt;0,"Paga parcialmente",IF(C215&lt;$A$5,"Vencida","Prevista"))))</x:f>
        <x:v>Prevista</x:v>
      </x:c>
      <x:c r="O215" s="29" t="n">
        <x:f>IF(A215="","",$A$5-C215)</x:f>
        <x:v>-1458</x:v>
      </x:c>
      <x:c r="P215" s="131" t="n">
        <x:f>IF(A215="","",IF(AND(O215&gt;0,MAX(K215-L215,0)&gt;0,N215&lt;&gt;"Paga"),ROUND(MAX(K215-L215,0)*'Parâmetros'!$B$34,2),0))</x:f>
        <x:v>0</x:v>
      </x:c>
      <x:c r="Q215" s="131" t="n">
        <x:f>IF(A215="","",IF(AND(O215&gt;0,MAX(K215-L215,0)&gt;0,N215&lt;&gt;"Paga"),ROUND(MAX(K215-L215,0)*'Parâmetros'!$B$35*(O215/'Parâmetros'!$B$33),2),0))</x:f>
        <x:v>0</x:v>
      </x:c>
      <x:c r="R215" s="131" t="n">
        <x:f>IF(A215="","",IF(O215&gt;0,ROUND(MAX(K215-L215,0)+P215+Q215,2),0))</x:f>
        <x:v>0</x:v>
      </x:c>
      <x:c r="S215" s="131" t="n">
        <x:f>IF(A215="","",IF(OR(N215="Paga",O215&gt;0),0,ROUND(IF(K215=0,0,G215*MAX(K215-L215,0)/K215)/(1+'Parâmetros'!$C$13)^((C215-$A$5)/30),2)))</x:f>
        <x:v>38.37</x:v>
      </x:c>
      <x:c r="T215" s="131" t="n">
        <x:f>IF(A215="","",0)</x:f>
        <x:v>0</x:v>
      </x:c>
      <x:c r="U215" s="131" t="n">
        <x:f>IF(A215="","",0)</x:f>
        <x:v>0</x:v>
      </x:c>
      <x:c r="V215" s="131" t="n">
        <x:f>IF(A215="","",IF(N215="Paga",0,IF(O215&gt;0,R215,S215)))</x:f>
        <x:v>38.37</x:v>
      </x:c>
      <x:c r="W215" s="131" t="n">
        <x:f>IF(A215="","",ROUND(MAX(D215-F215,0),2))</x:f>
        <x:v>77.67</x:v>
      </x:c>
      <x:c r="X215" s="131" t="n">
        <x:f>IF(A215="","",ROUND(SUM($G215:$G$407),2))</x:f>
        <x:v>157.04</x:v>
      </x:c>
      <x:c r="Y215" s="131" t="n">
        <x:f>IF(A215="","",ROUND(MAX(X215-D215,0),2))</x:f>
        <x:v>0.87</x:v>
      </x:c>
      <x:c r="Z215" s="131" t="n">
        <x:f>IF(A215="","",ROUND(SUM($V215:$V$407),2))</x:f>
        <x:v>76.03</x:v>
      </x:c>
      <x:c r="AA215" s="131" t="n">
        <x:f>IF(A215="","",ROUND(SUM($K215:$K$407)-Z215,2))</x:f>
        <x:v>855.99</x:v>
      </x:c>
      <x:c r="AB215" s="77"/>
      <x:c r="AC215" s="36" t="str">
        <x:f>IF(A215="","",IF(O215&gt;0,"Vencido: saldo da fatura + mora",IF(O215&lt;=0,"Vincendo: VP da parcela financeira; comissão/proteção futuras isentas","")))</x:f>
        <x:v>Vincendo: VP da parcela financeira; comissão/proteção futuras isentas</x:v>
      </x:c>
    </x:row>
    <x:row r="216">
      <x:c r="A216" s="129" t="n">
        <x:f>IF(ROW()-7&lt;=Contrato!$C$16,ROW()-7,"")</x:f>
        <x:v>209</x:v>
      </x:c>
      <x:c r="B216" s="129" t="n">
        <x:f>IF(A216="","",Contrato!$C$16)</x:f>
        <x:v>209</x:v>
      </x:c>
      <x:c r="C216" s="130" t="n">
        <x:f>IF(A216="","",IF(AB216&lt;&gt;"",AB216,IF(Contrato!$C$14="Mensal",EDATE(Contrato!$C$13,A216-1),Contrato!$C$13+(A216-1)*IF(Contrato!$C$14="Quinzenal",14,IF(Contrato!$C$14="Semanal",7,1)))))</x:f>
        <x:v>47725</x:v>
      </x:c>
      <x:c r="D216" s="131" t="n">
        <x:f>IF(A216="","",W215)</x:f>
        <x:v>77.67</x:v>
      </x:c>
      <x:c r="E216" s="131" t="n">
        <x:f>IF(A216="","",ROUND(D216*Simulador!$I$18,2))</x:f>
        <x:v>0.31</x:v>
      </x:c>
      <x:c r="F216" s="131" t="n">
        <x:f>IF(A216="","",ROUND(MIN(D216,MAX(G216-E216,0)),2))</x:f>
        <x:v>77.61</x:v>
      </x:c>
      <x:c r="G216" s="131" t="n">
        <x:f>IF(A216="","",IF(A216&lt;Contrato!$C$16,Contrato!$C$27,Contrato!$C$28))</x:f>
        <x:v>77.92</x:v>
      </x:c>
      <x:c r="H216" s="131" t="n">
        <x:f>IF(A216="","",Contrato!$C$29)</x:f>
        <x:v>199.99</x:v>
      </x:c>
      <x:c r="I216" s="131" t="n">
        <x:f>IF(A216="","",Contrato!$C$30)</x:f>
        <x:v>187.5</x:v>
      </x:c>
      <x:c r="J216" s="131" t="n">
        <x:f>IF(A216="","",Contrato!$C$31)</x:f>
        <x:v>0</x:v>
      </x:c>
      <x:c r="K216" s="131" t="n">
        <x:f>IF(A216="","",ROUND(SUM(G216:J216),2))</x:f>
        <x:v>465.41</x:v>
      </x:c>
      <x:c r="L216" s="80"/>
      <x:c r="M216" s="77"/>
      <x:c r="N216" s="29" t="str">
        <x:f>IF(A216="","",IF(L216&gt;=K216,"Paga",IF(L216&gt;0,"Paga parcialmente",IF(C216&lt;$A$5,"Vencida","Prevista"))))</x:f>
        <x:v>Prevista</x:v>
      </x:c>
      <x:c r="O216" s="29" t="n">
        <x:f>IF(A216="","",$A$5-C216)</x:f>
        <x:v>-1465</x:v>
      </x:c>
      <x:c r="P216" s="131" t="n">
        <x:f>IF(A216="","",IF(AND(O216&gt;0,MAX(K216-L216,0)&gt;0,N216&lt;&gt;"Paga"),ROUND(MAX(K216-L216,0)*'Parâmetros'!$B$34,2),0))</x:f>
        <x:v>0</x:v>
      </x:c>
      <x:c r="Q216" s="131" t="n">
        <x:f>IF(A216="","",IF(AND(O216&gt;0,MAX(K216-L216,0)&gt;0,N216&lt;&gt;"Paga"),ROUND(MAX(K216-L216,0)*'Parâmetros'!$B$35*(O216/'Parâmetros'!$B$33),2),0))</x:f>
        <x:v>0</x:v>
      </x:c>
      <x:c r="R216" s="131" t="n">
        <x:f>IF(A216="","",IF(O216&gt;0,ROUND(MAX(K216-L216,0)+P216+Q216,2),0))</x:f>
        <x:v>0</x:v>
      </x:c>
      <x:c r="S216" s="131" t="n">
        <x:f>IF(A216="","",IF(OR(N216="Paga",O216&gt;0),0,ROUND(IF(K216=0,0,G216*MAX(K216-L216,0)/K216)/(1+'Parâmetros'!$C$13)^((C216-$A$5)/30),2)))</x:f>
        <x:v>37.66</x:v>
      </x:c>
      <x:c r="T216" s="131" t="n">
        <x:f>IF(A216="","",0)</x:f>
        <x:v>0</x:v>
      </x:c>
      <x:c r="U216" s="131" t="n">
        <x:f>IF(A216="","",0)</x:f>
        <x:v>0</x:v>
      </x:c>
      <x:c r="V216" s="131" t="n">
        <x:f>IF(A216="","",IF(N216="Paga",0,IF(O216&gt;0,R216,S216)))</x:f>
        <x:v>37.66</x:v>
      </x:c>
      <x:c r="W216" s="131" t="n">
        <x:f>IF(A216="","",ROUND(MAX(D216-F216,0),2))</x:f>
        <x:v>0.06</x:v>
      </x:c>
      <x:c r="X216" s="131" t="n">
        <x:f>IF(A216="","",ROUND(SUM($G216:$G$407),2))</x:f>
        <x:v>77.92</x:v>
      </x:c>
      <x:c r="Y216" s="131" t="n">
        <x:f>IF(A216="","",ROUND(MAX(X216-D216,0),2))</x:f>
        <x:v>0.25</x:v>
      </x:c>
      <x:c r="Z216" s="131" t="n">
        <x:f>IF(A216="","",ROUND(SUM($V216:$V$407),2))</x:f>
        <x:v>37.66</x:v>
      </x:c>
      <x:c r="AA216" s="131" t="n">
        <x:f>IF(A216="","",ROUND(SUM($K216:$K$407)-Z216,2))</x:f>
        <x:v>427.75</x:v>
      </x:c>
      <x:c r="AB216" s="77"/>
      <x:c r="AC216" s="36" t="str">
        <x:f>IF(A216="","",IF(O216&gt;0,"Vencido: saldo da fatura + mora",IF(O216&lt;=0,"Vincendo: VP da parcela financeira; comissão/proteção futuras isentas","")))</x:f>
        <x:v>Vincendo: VP da parcela financeira; comissão/proteção futuras isentas</x:v>
      </x:c>
    </x:row>
    <x:row r="217">
      <x:c r="A217" s="129" t="str">
        <x:f>IF(ROW()-7&lt;=Contrato!$C$16,ROW()-7,"")</x:f>
      </x:c>
      <x:c r="B217" s="129" t="str">
        <x:f>IF(A217="","",Contrato!$C$16)</x:f>
      </x:c>
      <x:c r="C217" s="130" t="str">
        <x:f>IF(A217="","",IF(AB217&lt;&gt;"",AB217,IF(Contrato!$C$14="Mensal",EDATE(Contrato!$C$13,A217-1),Contrato!$C$13+(A217-1)*IF(Contrato!$C$14="Quinzenal",14,IF(Contrato!$C$14="Semanal",7,1)))))</x:f>
      </x:c>
      <x:c r="D217" s="131" t="str">
        <x:f>IF(A217="","",W216)</x:f>
      </x:c>
      <x:c r="E217" s="131" t="str">
        <x:f>IF(A217="","",ROUND(D217*Simulador!$I$18,2))</x:f>
      </x:c>
      <x:c r="F217" s="131" t="str">
        <x:f>IF(A217="","",ROUND(MIN(D217,MAX(G217-E217,0)),2))</x:f>
      </x:c>
      <x:c r="G217" s="131" t="str">
        <x:f>IF(A217="","",IF(A217&lt;Contrato!$C$16,Contrato!$C$27,Contrato!$C$28))</x:f>
      </x:c>
      <x:c r="H217" s="131" t="str">
        <x:f>IF(A217="","",Contrato!$C$29)</x:f>
      </x:c>
      <x:c r="I217" s="131" t="str">
        <x:f>IF(A217="","",Contrato!$C$30)</x:f>
      </x:c>
      <x:c r="J217" s="131" t="str">
        <x:f>IF(A217="","",Contrato!$C$31)</x:f>
      </x:c>
      <x:c r="K217" s="131" t="str">
        <x:f>IF(A217="","",ROUND(SUM(G217:J217),2))</x:f>
      </x:c>
      <x:c r="L217" s="80"/>
      <x:c r="M217" s="77"/>
      <x:c r="N217" s="29" t="str">
        <x:f>IF(A217="","",IF(L217&gt;=K217,"Paga",IF(L217&gt;0,"Paga parcialmente",IF(C217&lt;$A$5,"Vencida","Prevista"))))</x:f>
      </x:c>
      <x:c r="O217" s="29" t="str">
        <x:f>IF(A217="","",$A$5-C217)</x:f>
      </x:c>
      <x:c r="P217" s="131" t="str">
        <x:f>IF(A217="","",IF(AND(O217&gt;0,MAX(K217-L217,0)&gt;0,N217&lt;&gt;"Paga"),ROUND(MAX(K217-L217,0)*'Parâmetros'!$B$34,2),0))</x:f>
      </x:c>
      <x:c r="Q217" s="131" t="str">
        <x:f>IF(A217="","",IF(AND(O217&gt;0,MAX(K217-L217,0)&gt;0,N217&lt;&gt;"Paga"),ROUND(MAX(K217-L217,0)*'Parâmetros'!$B$35*(O217/'Parâmetros'!$B$33),2),0))</x:f>
      </x:c>
      <x:c r="R217" s="131" t="str">
        <x:f>IF(A217="","",IF(O217&gt;0,ROUND(MAX(K217-L217,0)+P217+Q217,2),0))</x:f>
      </x:c>
      <x:c r="S217" s="131" t="str">
        <x:f>IF(A217="","",IF(OR(N217="Paga",O217&gt;0),0,ROUND(IF(K217=0,0,G217*MAX(K217-L217,0)/K217)/(1+'Parâmetros'!$C$13)^((C217-$A$5)/30),2)))</x:f>
      </x:c>
      <x:c r="T217" s="131" t="str">
        <x:f>IF(A217="","",0)</x:f>
      </x:c>
      <x:c r="U217" s="131" t="str">
        <x:f>IF(A217="","",0)</x:f>
      </x:c>
      <x:c r="V217" s="131" t="str">
        <x:f>IF(A217="","",IF(N217="Paga",0,IF(O217&gt;0,R217,S217)))</x:f>
      </x:c>
      <x:c r="W217" s="131" t="str">
        <x:f>IF(A217="","",ROUND(MAX(D217-F217,0),2))</x:f>
      </x:c>
      <x:c r="X217" s="131" t="str">
        <x:f>IF(A217="","",ROUND(SUM($G217:$G$407),2))</x:f>
      </x:c>
      <x:c r="Y217" s="131" t="str">
        <x:f>IF(A217="","",ROUND(MAX(X217-D217,0),2))</x:f>
      </x:c>
      <x:c r="Z217" s="131" t="str">
        <x:f>IF(A217="","",ROUND(SUM($V217:$V$407),2))</x:f>
      </x:c>
      <x:c r="AA217" s="131" t="str">
        <x:f>IF(A217="","",ROUND(SUM($K217:$K$407)-Z217,2))</x:f>
      </x:c>
      <x:c r="AB217" s="77"/>
      <x:c r="AC217" s="36" t="str">
        <x:f>IF(A217="","",IF(O217&gt;0,"Vencido: saldo da fatura + mora",IF(O217&lt;=0,"Vincendo: VP da parcela financeira; comissão/proteção futuras isentas","")))</x:f>
      </x:c>
    </x:row>
    <x:row r="218">
      <x:c r="A218" s="129" t="str">
        <x:f>IF(ROW()-7&lt;=Contrato!$C$16,ROW()-7,"")</x:f>
      </x:c>
      <x:c r="B218" s="129" t="str">
        <x:f>IF(A218="","",Contrato!$C$16)</x:f>
      </x:c>
      <x:c r="C218" s="130" t="str">
        <x:f>IF(A218="","",IF(AB218&lt;&gt;"",AB218,IF(Contrato!$C$14="Mensal",EDATE(Contrato!$C$13,A218-1),Contrato!$C$13+(A218-1)*IF(Contrato!$C$14="Quinzenal",14,IF(Contrato!$C$14="Semanal",7,1)))))</x:f>
      </x:c>
      <x:c r="D218" s="131" t="str">
        <x:f>IF(A218="","",W217)</x:f>
      </x:c>
      <x:c r="E218" s="131" t="str">
        <x:f>IF(A218="","",ROUND(D218*Simulador!$I$18,2))</x:f>
      </x:c>
      <x:c r="F218" s="131" t="str">
        <x:f>IF(A218="","",ROUND(MIN(D218,MAX(G218-E218,0)),2))</x:f>
      </x:c>
      <x:c r="G218" s="131" t="str">
        <x:f>IF(A218="","",IF(A218&lt;Contrato!$C$16,Contrato!$C$27,Contrato!$C$28))</x:f>
      </x:c>
      <x:c r="H218" s="131" t="str">
        <x:f>IF(A218="","",Contrato!$C$29)</x:f>
      </x:c>
      <x:c r="I218" s="131" t="str">
        <x:f>IF(A218="","",Contrato!$C$30)</x:f>
      </x:c>
      <x:c r="J218" s="131" t="str">
        <x:f>IF(A218="","",Contrato!$C$31)</x:f>
      </x:c>
      <x:c r="K218" s="131" t="str">
        <x:f>IF(A218="","",ROUND(SUM(G218:J218),2))</x:f>
      </x:c>
      <x:c r="L218" s="80"/>
      <x:c r="M218" s="77"/>
      <x:c r="N218" s="29" t="str">
        <x:f>IF(A218="","",IF(L218&gt;=K218,"Paga",IF(L218&gt;0,"Paga parcialmente",IF(C218&lt;$A$5,"Vencida","Prevista"))))</x:f>
      </x:c>
      <x:c r="O218" s="29" t="str">
        <x:f>IF(A218="","",$A$5-C218)</x:f>
      </x:c>
      <x:c r="P218" s="131" t="str">
        <x:f>IF(A218="","",IF(AND(O218&gt;0,MAX(K218-L218,0)&gt;0,N218&lt;&gt;"Paga"),ROUND(MAX(K218-L218,0)*'Parâmetros'!$B$34,2),0))</x:f>
      </x:c>
      <x:c r="Q218" s="131" t="str">
        <x:f>IF(A218="","",IF(AND(O218&gt;0,MAX(K218-L218,0)&gt;0,N218&lt;&gt;"Paga"),ROUND(MAX(K218-L218,0)*'Parâmetros'!$B$35*(O218/'Parâmetros'!$B$33),2),0))</x:f>
      </x:c>
      <x:c r="R218" s="131" t="str">
        <x:f>IF(A218="","",IF(O218&gt;0,ROUND(MAX(K218-L218,0)+P218+Q218,2),0))</x:f>
      </x:c>
      <x:c r="S218" s="131" t="str">
        <x:f>IF(A218="","",IF(OR(N218="Paga",O218&gt;0),0,ROUND(IF(K218=0,0,G218*MAX(K218-L218,0)/K218)/(1+'Parâmetros'!$C$13)^((C218-$A$5)/30),2)))</x:f>
      </x:c>
      <x:c r="T218" s="131" t="str">
        <x:f>IF(A218="","",0)</x:f>
      </x:c>
      <x:c r="U218" s="131" t="str">
        <x:f>IF(A218="","",0)</x:f>
      </x:c>
      <x:c r="V218" s="131" t="str">
        <x:f>IF(A218="","",IF(N218="Paga",0,IF(O218&gt;0,R218,S218)))</x:f>
      </x:c>
      <x:c r="W218" s="131" t="str">
        <x:f>IF(A218="","",ROUND(MAX(D218-F218,0),2))</x:f>
      </x:c>
      <x:c r="X218" s="131" t="str">
        <x:f>IF(A218="","",ROUND(SUM($G218:$G$407),2))</x:f>
      </x:c>
      <x:c r="Y218" s="131" t="str">
        <x:f>IF(A218="","",ROUND(MAX(X218-D218,0),2))</x:f>
      </x:c>
      <x:c r="Z218" s="131" t="str">
        <x:f>IF(A218="","",ROUND(SUM($V218:$V$407),2))</x:f>
      </x:c>
      <x:c r="AA218" s="131" t="str">
        <x:f>IF(A218="","",ROUND(SUM($K218:$K$407)-Z218,2))</x:f>
      </x:c>
      <x:c r="AB218" s="77"/>
      <x:c r="AC218" s="36" t="str">
        <x:f>IF(A218="","",IF(O218&gt;0,"Vencido: saldo da fatura + mora",IF(O218&lt;=0,"Vincendo: VP da parcela financeira; comissão/proteção futuras isentas","")))</x:f>
      </x:c>
    </x:row>
    <x:row r="219">
      <x:c r="A219" s="129" t="str">
        <x:f>IF(ROW()-7&lt;=Contrato!$C$16,ROW()-7,"")</x:f>
      </x:c>
      <x:c r="B219" s="129" t="str">
        <x:f>IF(A219="","",Contrato!$C$16)</x:f>
      </x:c>
      <x:c r="C219" s="130" t="str">
        <x:f>IF(A219="","",IF(AB219&lt;&gt;"",AB219,IF(Contrato!$C$14="Mensal",EDATE(Contrato!$C$13,A219-1),Contrato!$C$13+(A219-1)*IF(Contrato!$C$14="Quinzenal",14,IF(Contrato!$C$14="Semanal",7,1)))))</x:f>
      </x:c>
      <x:c r="D219" s="131" t="str">
        <x:f>IF(A219="","",W218)</x:f>
      </x:c>
      <x:c r="E219" s="131" t="str">
        <x:f>IF(A219="","",ROUND(D219*Simulador!$I$18,2))</x:f>
      </x:c>
      <x:c r="F219" s="131" t="str">
        <x:f>IF(A219="","",ROUND(MIN(D219,MAX(G219-E219,0)),2))</x:f>
      </x:c>
      <x:c r="G219" s="131" t="str">
        <x:f>IF(A219="","",IF(A219&lt;Contrato!$C$16,Contrato!$C$27,Contrato!$C$28))</x:f>
      </x:c>
      <x:c r="H219" s="131" t="str">
        <x:f>IF(A219="","",Contrato!$C$29)</x:f>
      </x:c>
      <x:c r="I219" s="131" t="str">
        <x:f>IF(A219="","",Contrato!$C$30)</x:f>
      </x:c>
      <x:c r="J219" s="131" t="str">
        <x:f>IF(A219="","",Contrato!$C$31)</x:f>
      </x:c>
      <x:c r="K219" s="131" t="str">
        <x:f>IF(A219="","",ROUND(SUM(G219:J219),2))</x:f>
      </x:c>
      <x:c r="L219" s="80"/>
      <x:c r="M219" s="77"/>
      <x:c r="N219" s="29" t="str">
        <x:f>IF(A219="","",IF(L219&gt;=K219,"Paga",IF(L219&gt;0,"Paga parcialmente",IF(C219&lt;$A$5,"Vencida","Prevista"))))</x:f>
      </x:c>
      <x:c r="O219" s="29" t="str">
        <x:f>IF(A219="","",$A$5-C219)</x:f>
      </x:c>
      <x:c r="P219" s="131" t="str">
        <x:f>IF(A219="","",IF(AND(O219&gt;0,MAX(K219-L219,0)&gt;0,N219&lt;&gt;"Paga"),ROUND(MAX(K219-L219,0)*'Parâmetros'!$B$34,2),0))</x:f>
      </x:c>
      <x:c r="Q219" s="131" t="str">
        <x:f>IF(A219="","",IF(AND(O219&gt;0,MAX(K219-L219,0)&gt;0,N219&lt;&gt;"Paga"),ROUND(MAX(K219-L219,0)*'Parâmetros'!$B$35*(O219/'Parâmetros'!$B$33),2),0))</x:f>
      </x:c>
      <x:c r="R219" s="131" t="str">
        <x:f>IF(A219="","",IF(O219&gt;0,ROUND(MAX(K219-L219,0)+P219+Q219,2),0))</x:f>
      </x:c>
      <x:c r="S219" s="131" t="str">
        <x:f>IF(A219="","",IF(OR(N219="Paga",O219&gt;0),0,ROUND(IF(K219=0,0,G219*MAX(K219-L219,0)/K219)/(1+'Parâmetros'!$C$13)^((C219-$A$5)/30),2)))</x:f>
      </x:c>
      <x:c r="T219" s="131" t="str">
        <x:f>IF(A219="","",0)</x:f>
      </x:c>
      <x:c r="U219" s="131" t="str">
        <x:f>IF(A219="","",0)</x:f>
      </x:c>
      <x:c r="V219" s="131" t="str">
        <x:f>IF(A219="","",IF(N219="Paga",0,IF(O219&gt;0,R219,S219)))</x:f>
      </x:c>
      <x:c r="W219" s="131" t="str">
        <x:f>IF(A219="","",ROUND(MAX(D219-F219,0),2))</x:f>
      </x:c>
      <x:c r="X219" s="131" t="str">
        <x:f>IF(A219="","",ROUND(SUM($G219:$G$407),2))</x:f>
      </x:c>
      <x:c r="Y219" s="131" t="str">
        <x:f>IF(A219="","",ROUND(MAX(X219-D219,0),2))</x:f>
      </x:c>
      <x:c r="Z219" s="131" t="str">
        <x:f>IF(A219="","",ROUND(SUM($V219:$V$407),2))</x:f>
      </x:c>
      <x:c r="AA219" s="131" t="str">
        <x:f>IF(A219="","",ROUND(SUM($K219:$K$407)-Z219,2))</x:f>
      </x:c>
      <x:c r="AB219" s="77"/>
      <x:c r="AC219" s="36" t="str">
        <x:f>IF(A219="","",IF(O219&gt;0,"Vencido: saldo da fatura + mora",IF(O219&lt;=0,"Vincendo: VP da parcela financeira; comissão/proteção futuras isentas","")))</x:f>
      </x:c>
    </x:row>
    <x:row r="220">
      <x:c r="A220" s="129" t="str">
        <x:f>IF(ROW()-7&lt;=Contrato!$C$16,ROW()-7,"")</x:f>
      </x:c>
      <x:c r="B220" s="129" t="str">
        <x:f>IF(A220="","",Contrato!$C$16)</x:f>
      </x:c>
      <x:c r="C220" s="130" t="str">
        <x:f>IF(A220="","",IF(AB220&lt;&gt;"",AB220,IF(Contrato!$C$14="Mensal",EDATE(Contrato!$C$13,A220-1),Contrato!$C$13+(A220-1)*IF(Contrato!$C$14="Quinzenal",14,IF(Contrato!$C$14="Semanal",7,1)))))</x:f>
      </x:c>
      <x:c r="D220" s="131" t="str">
        <x:f>IF(A220="","",W219)</x:f>
      </x:c>
      <x:c r="E220" s="131" t="str">
        <x:f>IF(A220="","",ROUND(D220*Simulador!$I$18,2))</x:f>
      </x:c>
      <x:c r="F220" s="131" t="str">
        <x:f>IF(A220="","",ROUND(MIN(D220,MAX(G220-E220,0)),2))</x:f>
      </x:c>
      <x:c r="G220" s="131" t="str">
        <x:f>IF(A220="","",IF(A220&lt;Contrato!$C$16,Contrato!$C$27,Contrato!$C$28))</x:f>
      </x:c>
      <x:c r="H220" s="131" t="str">
        <x:f>IF(A220="","",Contrato!$C$29)</x:f>
      </x:c>
      <x:c r="I220" s="131" t="str">
        <x:f>IF(A220="","",Contrato!$C$30)</x:f>
      </x:c>
      <x:c r="J220" s="131" t="str">
        <x:f>IF(A220="","",Contrato!$C$31)</x:f>
      </x:c>
      <x:c r="K220" s="131" t="str">
        <x:f>IF(A220="","",ROUND(SUM(G220:J220),2))</x:f>
      </x:c>
      <x:c r="L220" s="80"/>
      <x:c r="M220" s="77"/>
      <x:c r="N220" s="29" t="str">
        <x:f>IF(A220="","",IF(L220&gt;=K220,"Paga",IF(L220&gt;0,"Paga parcialmente",IF(C220&lt;$A$5,"Vencida","Prevista"))))</x:f>
      </x:c>
      <x:c r="O220" s="29" t="str">
        <x:f>IF(A220="","",$A$5-C220)</x:f>
      </x:c>
      <x:c r="P220" s="131" t="str">
        <x:f>IF(A220="","",IF(AND(O220&gt;0,MAX(K220-L220,0)&gt;0,N220&lt;&gt;"Paga"),ROUND(MAX(K220-L220,0)*'Parâmetros'!$B$34,2),0))</x:f>
      </x:c>
      <x:c r="Q220" s="131" t="str">
        <x:f>IF(A220="","",IF(AND(O220&gt;0,MAX(K220-L220,0)&gt;0,N220&lt;&gt;"Paga"),ROUND(MAX(K220-L220,0)*'Parâmetros'!$B$35*(O220/'Parâmetros'!$B$33),2),0))</x:f>
      </x:c>
      <x:c r="R220" s="131" t="str">
        <x:f>IF(A220="","",IF(O220&gt;0,ROUND(MAX(K220-L220,0)+P220+Q220,2),0))</x:f>
      </x:c>
      <x:c r="S220" s="131" t="str">
        <x:f>IF(A220="","",IF(OR(N220="Paga",O220&gt;0),0,ROUND(IF(K220=0,0,G220*MAX(K220-L220,0)/K220)/(1+'Parâmetros'!$C$13)^((C220-$A$5)/30),2)))</x:f>
      </x:c>
      <x:c r="T220" s="131" t="str">
        <x:f>IF(A220="","",0)</x:f>
      </x:c>
      <x:c r="U220" s="131" t="str">
        <x:f>IF(A220="","",0)</x:f>
      </x:c>
      <x:c r="V220" s="131" t="str">
        <x:f>IF(A220="","",IF(N220="Paga",0,IF(O220&gt;0,R220,S220)))</x:f>
      </x:c>
      <x:c r="W220" s="131" t="str">
        <x:f>IF(A220="","",ROUND(MAX(D220-F220,0),2))</x:f>
      </x:c>
      <x:c r="X220" s="131" t="str">
        <x:f>IF(A220="","",ROUND(SUM($G220:$G$407),2))</x:f>
      </x:c>
      <x:c r="Y220" s="131" t="str">
        <x:f>IF(A220="","",ROUND(MAX(X220-D220,0),2))</x:f>
      </x:c>
      <x:c r="Z220" s="131" t="str">
        <x:f>IF(A220="","",ROUND(SUM($V220:$V$407),2))</x:f>
      </x:c>
      <x:c r="AA220" s="131" t="str">
        <x:f>IF(A220="","",ROUND(SUM($K220:$K$407)-Z220,2))</x:f>
      </x:c>
      <x:c r="AB220" s="77"/>
      <x:c r="AC220" s="36" t="str">
        <x:f>IF(A220="","",IF(O220&gt;0,"Vencido: saldo da fatura + mora",IF(O220&lt;=0,"Vincendo: VP da parcela financeira; comissão/proteção futuras isentas","")))</x:f>
      </x:c>
    </x:row>
    <x:row r="221">
      <x:c r="A221" s="129" t="str">
        <x:f>IF(ROW()-7&lt;=Contrato!$C$16,ROW()-7,"")</x:f>
      </x:c>
      <x:c r="B221" s="129" t="str">
        <x:f>IF(A221="","",Contrato!$C$16)</x:f>
      </x:c>
      <x:c r="C221" s="130" t="str">
        <x:f>IF(A221="","",IF(AB221&lt;&gt;"",AB221,IF(Contrato!$C$14="Mensal",EDATE(Contrato!$C$13,A221-1),Contrato!$C$13+(A221-1)*IF(Contrato!$C$14="Quinzenal",14,IF(Contrato!$C$14="Semanal",7,1)))))</x:f>
      </x:c>
      <x:c r="D221" s="131" t="str">
        <x:f>IF(A221="","",W220)</x:f>
      </x:c>
      <x:c r="E221" s="131" t="str">
        <x:f>IF(A221="","",ROUND(D221*Simulador!$I$18,2))</x:f>
      </x:c>
      <x:c r="F221" s="131" t="str">
        <x:f>IF(A221="","",ROUND(MIN(D221,MAX(G221-E221,0)),2))</x:f>
      </x:c>
      <x:c r="G221" s="131" t="str">
        <x:f>IF(A221="","",IF(A221&lt;Contrato!$C$16,Contrato!$C$27,Contrato!$C$28))</x:f>
      </x:c>
      <x:c r="H221" s="131" t="str">
        <x:f>IF(A221="","",Contrato!$C$29)</x:f>
      </x:c>
      <x:c r="I221" s="131" t="str">
        <x:f>IF(A221="","",Contrato!$C$30)</x:f>
      </x:c>
      <x:c r="J221" s="131" t="str">
        <x:f>IF(A221="","",Contrato!$C$31)</x:f>
      </x:c>
      <x:c r="K221" s="131" t="str">
        <x:f>IF(A221="","",ROUND(SUM(G221:J221),2))</x:f>
      </x:c>
      <x:c r="L221" s="80"/>
      <x:c r="M221" s="77"/>
      <x:c r="N221" s="29" t="str">
        <x:f>IF(A221="","",IF(L221&gt;=K221,"Paga",IF(L221&gt;0,"Paga parcialmente",IF(C221&lt;$A$5,"Vencida","Prevista"))))</x:f>
      </x:c>
      <x:c r="O221" s="29" t="str">
        <x:f>IF(A221="","",$A$5-C221)</x:f>
      </x:c>
      <x:c r="P221" s="131" t="str">
        <x:f>IF(A221="","",IF(AND(O221&gt;0,MAX(K221-L221,0)&gt;0,N221&lt;&gt;"Paga"),ROUND(MAX(K221-L221,0)*'Parâmetros'!$B$34,2),0))</x:f>
      </x:c>
      <x:c r="Q221" s="131" t="str">
        <x:f>IF(A221="","",IF(AND(O221&gt;0,MAX(K221-L221,0)&gt;0,N221&lt;&gt;"Paga"),ROUND(MAX(K221-L221,0)*'Parâmetros'!$B$35*(O221/'Parâmetros'!$B$33),2),0))</x:f>
      </x:c>
      <x:c r="R221" s="131" t="str">
        <x:f>IF(A221="","",IF(O221&gt;0,ROUND(MAX(K221-L221,0)+P221+Q221,2),0))</x:f>
      </x:c>
      <x:c r="S221" s="131" t="str">
        <x:f>IF(A221="","",IF(OR(N221="Paga",O221&gt;0),0,ROUND(IF(K221=0,0,G221*MAX(K221-L221,0)/K221)/(1+'Parâmetros'!$C$13)^((C221-$A$5)/30),2)))</x:f>
      </x:c>
      <x:c r="T221" s="131" t="str">
        <x:f>IF(A221="","",0)</x:f>
      </x:c>
      <x:c r="U221" s="131" t="str">
        <x:f>IF(A221="","",0)</x:f>
      </x:c>
      <x:c r="V221" s="131" t="str">
        <x:f>IF(A221="","",IF(N221="Paga",0,IF(O221&gt;0,R221,S221)))</x:f>
      </x:c>
      <x:c r="W221" s="131" t="str">
        <x:f>IF(A221="","",ROUND(MAX(D221-F221,0),2))</x:f>
      </x:c>
      <x:c r="X221" s="131" t="str">
        <x:f>IF(A221="","",ROUND(SUM($G221:$G$407),2))</x:f>
      </x:c>
      <x:c r="Y221" s="131" t="str">
        <x:f>IF(A221="","",ROUND(MAX(X221-D221,0),2))</x:f>
      </x:c>
      <x:c r="Z221" s="131" t="str">
        <x:f>IF(A221="","",ROUND(SUM($V221:$V$407),2))</x:f>
      </x:c>
      <x:c r="AA221" s="131" t="str">
        <x:f>IF(A221="","",ROUND(SUM($K221:$K$407)-Z221,2))</x:f>
      </x:c>
      <x:c r="AB221" s="77"/>
      <x:c r="AC221" s="36" t="str">
        <x:f>IF(A221="","",IF(O221&gt;0,"Vencido: saldo da fatura + mora",IF(O221&lt;=0,"Vincendo: VP da parcela financeira; comissão/proteção futuras isentas","")))</x:f>
      </x:c>
    </x:row>
    <x:row r="222">
      <x:c r="A222" s="129" t="str">
        <x:f>IF(ROW()-7&lt;=Contrato!$C$16,ROW()-7,"")</x:f>
      </x:c>
      <x:c r="B222" s="129" t="str">
        <x:f>IF(A222="","",Contrato!$C$16)</x:f>
      </x:c>
      <x:c r="C222" s="130" t="str">
        <x:f>IF(A222="","",IF(AB222&lt;&gt;"",AB222,IF(Contrato!$C$14="Mensal",EDATE(Contrato!$C$13,A222-1),Contrato!$C$13+(A222-1)*IF(Contrato!$C$14="Quinzenal",14,IF(Contrato!$C$14="Semanal",7,1)))))</x:f>
      </x:c>
      <x:c r="D222" s="131" t="str">
        <x:f>IF(A222="","",W221)</x:f>
      </x:c>
      <x:c r="E222" s="131" t="str">
        <x:f>IF(A222="","",ROUND(D222*Simulador!$I$18,2))</x:f>
      </x:c>
      <x:c r="F222" s="131" t="str">
        <x:f>IF(A222="","",ROUND(MIN(D222,MAX(G222-E222,0)),2))</x:f>
      </x:c>
      <x:c r="G222" s="131" t="str">
        <x:f>IF(A222="","",IF(A222&lt;Contrato!$C$16,Contrato!$C$27,Contrato!$C$28))</x:f>
      </x:c>
      <x:c r="H222" s="131" t="str">
        <x:f>IF(A222="","",Contrato!$C$29)</x:f>
      </x:c>
      <x:c r="I222" s="131" t="str">
        <x:f>IF(A222="","",Contrato!$C$30)</x:f>
      </x:c>
      <x:c r="J222" s="131" t="str">
        <x:f>IF(A222="","",Contrato!$C$31)</x:f>
      </x:c>
      <x:c r="K222" s="131" t="str">
        <x:f>IF(A222="","",ROUND(SUM(G222:J222),2))</x:f>
      </x:c>
      <x:c r="L222" s="80"/>
      <x:c r="M222" s="77"/>
      <x:c r="N222" s="29" t="str">
        <x:f>IF(A222="","",IF(L222&gt;=K222,"Paga",IF(L222&gt;0,"Paga parcialmente",IF(C222&lt;$A$5,"Vencida","Prevista"))))</x:f>
      </x:c>
      <x:c r="O222" s="29" t="str">
        <x:f>IF(A222="","",$A$5-C222)</x:f>
      </x:c>
      <x:c r="P222" s="131" t="str">
        <x:f>IF(A222="","",IF(AND(O222&gt;0,MAX(K222-L222,0)&gt;0,N222&lt;&gt;"Paga"),ROUND(MAX(K222-L222,0)*'Parâmetros'!$B$34,2),0))</x:f>
      </x:c>
      <x:c r="Q222" s="131" t="str">
        <x:f>IF(A222="","",IF(AND(O222&gt;0,MAX(K222-L222,0)&gt;0,N222&lt;&gt;"Paga"),ROUND(MAX(K222-L222,0)*'Parâmetros'!$B$35*(O222/'Parâmetros'!$B$33),2),0))</x:f>
      </x:c>
      <x:c r="R222" s="131" t="str">
        <x:f>IF(A222="","",IF(O222&gt;0,ROUND(MAX(K222-L222,0)+P222+Q222,2),0))</x:f>
      </x:c>
      <x:c r="S222" s="131" t="str">
        <x:f>IF(A222="","",IF(OR(N222="Paga",O222&gt;0),0,ROUND(IF(K222=0,0,G222*MAX(K222-L222,0)/K222)/(1+'Parâmetros'!$C$13)^((C222-$A$5)/30),2)))</x:f>
      </x:c>
      <x:c r="T222" s="131" t="str">
        <x:f>IF(A222="","",0)</x:f>
      </x:c>
      <x:c r="U222" s="131" t="str">
        <x:f>IF(A222="","",0)</x:f>
      </x:c>
      <x:c r="V222" s="131" t="str">
        <x:f>IF(A222="","",IF(N222="Paga",0,IF(O222&gt;0,R222,S222)))</x:f>
      </x:c>
      <x:c r="W222" s="131" t="str">
        <x:f>IF(A222="","",ROUND(MAX(D222-F222,0),2))</x:f>
      </x:c>
      <x:c r="X222" s="131" t="str">
        <x:f>IF(A222="","",ROUND(SUM($G222:$G$407),2))</x:f>
      </x:c>
      <x:c r="Y222" s="131" t="str">
        <x:f>IF(A222="","",ROUND(MAX(X222-D222,0),2))</x:f>
      </x:c>
      <x:c r="Z222" s="131" t="str">
        <x:f>IF(A222="","",ROUND(SUM($V222:$V$407),2))</x:f>
      </x:c>
      <x:c r="AA222" s="131" t="str">
        <x:f>IF(A222="","",ROUND(SUM($K222:$K$407)-Z222,2))</x:f>
      </x:c>
      <x:c r="AB222" s="77"/>
      <x:c r="AC222" s="36" t="str">
        <x:f>IF(A222="","",IF(O222&gt;0,"Vencido: saldo da fatura + mora",IF(O222&lt;=0,"Vincendo: VP da parcela financeira; comissão/proteção futuras isentas","")))</x:f>
      </x:c>
    </x:row>
    <x:row r="223">
      <x:c r="A223" s="129" t="str">
        <x:f>IF(ROW()-7&lt;=Contrato!$C$16,ROW()-7,"")</x:f>
      </x:c>
      <x:c r="B223" s="129" t="str">
        <x:f>IF(A223="","",Contrato!$C$16)</x:f>
      </x:c>
      <x:c r="C223" s="130" t="str">
        <x:f>IF(A223="","",IF(AB223&lt;&gt;"",AB223,IF(Contrato!$C$14="Mensal",EDATE(Contrato!$C$13,A223-1),Contrato!$C$13+(A223-1)*IF(Contrato!$C$14="Quinzenal",14,IF(Contrato!$C$14="Semanal",7,1)))))</x:f>
      </x:c>
      <x:c r="D223" s="131" t="str">
        <x:f>IF(A223="","",W222)</x:f>
      </x:c>
      <x:c r="E223" s="131" t="str">
        <x:f>IF(A223="","",ROUND(D223*Simulador!$I$18,2))</x:f>
      </x:c>
      <x:c r="F223" s="131" t="str">
        <x:f>IF(A223="","",ROUND(MIN(D223,MAX(G223-E223,0)),2))</x:f>
      </x:c>
      <x:c r="G223" s="131" t="str">
        <x:f>IF(A223="","",IF(A223&lt;Contrato!$C$16,Contrato!$C$27,Contrato!$C$28))</x:f>
      </x:c>
      <x:c r="H223" s="131" t="str">
        <x:f>IF(A223="","",Contrato!$C$29)</x:f>
      </x:c>
      <x:c r="I223" s="131" t="str">
        <x:f>IF(A223="","",Contrato!$C$30)</x:f>
      </x:c>
      <x:c r="J223" s="131" t="str">
        <x:f>IF(A223="","",Contrato!$C$31)</x:f>
      </x:c>
      <x:c r="K223" s="131" t="str">
        <x:f>IF(A223="","",ROUND(SUM(G223:J223),2))</x:f>
      </x:c>
      <x:c r="L223" s="80"/>
      <x:c r="M223" s="77"/>
      <x:c r="N223" s="29" t="str">
        <x:f>IF(A223="","",IF(L223&gt;=K223,"Paga",IF(L223&gt;0,"Paga parcialmente",IF(C223&lt;$A$5,"Vencida","Prevista"))))</x:f>
      </x:c>
      <x:c r="O223" s="29" t="str">
        <x:f>IF(A223="","",$A$5-C223)</x:f>
      </x:c>
      <x:c r="P223" s="131" t="str">
        <x:f>IF(A223="","",IF(AND(O223&gt;0,MAX(K223-L223,0)&gt;0,N223&lt;&gt;"Paga"),ROUND(MAX(K223-L223,0)*'Parâmetros'!$B$34,2),0))</x:f>
      </x:c>
      <x:c r="Q223" s="131" t="str">
        <x:f>IF(A223="","",IF(AND(O223&gt;0,MAX(K223-L223,0)&gt;0,N223&lt;&gt;"Paga"),ROUND(MAX(K223-L223,0)*'Parâmetros'!$B$35*(O223/'Parâmetros'!$B$33),2),0))</x:f>
      </x:c>
      <x:c r="R223" s="131" t="str">
        <x:f>IF(A223="","",IF(O223&gt;0,ROUND(MAX(K223-L223,0)+P223+Q223,2),0))</x:f>
      </x:c>
      <x:c r="S223" s="131" t="str">
        <x:f>IF(A223="","",IF(OR(N223="Paga",O223&gt;0),0,ROUND(IF(K223=0,0,G223*MAX(K223-L223,0)/K223)/(1+'Parâmetros'!$C$13)^((C223-$A$5)/30),2)))</x:f>
      </x:c>
      <x:c r="T223" s="131" t="str">
        <x:f>IF(A223="","",0)</x:f>
      </x:c>
      <x:c r="U223" s="131" t="str">
        <x:f>IF(A223="","",0)</x:f>
      </x:c>
      <x:c r="V223" s="131" t="str">
        <x:f>IF(A223="","",IF(N223="Paga",0,IF(O223&gt;0,R223,S223)))</x:f>
      </x:c>
      <x:c r="W223" s="131" t="str">
        <x:f>IF(A223="","",ROUND(MAX(D223-F223,0),2))</x:f>
      </x:c>
      <x:c r="X223" s="131" t="str">
        <x:f>IF(A223="","",ROUND(SUM($G223:$G$407),2))</x:f>
      </x:c>
      <x:c r="Y223" s="131" t="str">
        <x:f>IF(A223="","",ROUND(MAX(X223-D223,0),2))</x:f>
      </x:c>
      <x:c r="Z223" s="131" t="str">
        <x:f>IF(A223="","",ROUND(SUM($V223:$V$407),2))</x:f>
      </x:c>
      <x:c r="AA223" s="131" t="str">
        <x:f>IF(A223="","",ROUND(SUM($K223:$K$407)-Z223,2))</x:f>
      </x:c>
      <x:c r="AB223" s="77"/>
      <x:c r="AC223" s="36" t="str">
        <x:f>IF(A223="","",IF(O223&gt;0,"Vencido: saldo da fatura + mora",IF(O223&lt;=0,"Vincendo: VP da parcela financeira; comissão/proteção futuras isentas","")))</x:f>
      </x:c>
    </x:row>
    <x:row r="224">
      <x:c r="A224" s="129" t="str">
        <x:f>IF(ROW()-7&lt;=Contrato!$C$16,ROW()-7,"")</x:f>
      </x:c>
      <x:c r="B224" s="129" t="str">
        <x:f>IF(A224="","",Contrato!$C$16)</x:f>
      </x:c>
      <x:c r="C224" s="130" t="str">
        <x:f>IF(A224="","",IF(AB224&lt;&gt;"",AB224,IF(Contrato!$C$14="Mensal",EDATE(Contrato!$C$13,A224-1),Contrato!$C$13+(A224-1)*IF(Contrato!$C$14="Quinzenal",14,IF(Contrato!$C$14="Semanal",7,1)))))</x:f>
      </x:c>
      <x:c r="D224" s="131" t="str">
        <x:f>IF(A224="","",W223)</x:f>
      </x:c>
      <x:c r="E224" s="131" t="str">
        <x:f>IF(A224="","",ROUND(D224*Simulador!$I$18,2))</x:f>
      </x:c>
      <x:c r="F224" s="131" t="str">
        <x:f>IF(A224="","",ROUND(MIN(D224,MAX(G224-E224,0)),2))</x:f>
      </x:c>
      <x:c r="G224" s="131" t="str">
        <x:f>IF(A224="","",IF(A224&lt;Contrato!$C$16,Contrato!$C$27,Contrato!$C$28))</x:f>
      </x:c>
      <x:c r="H224" s="131" t="str">
        <x:f>IF(A224="","",Contrato!$C$29)</x:f>
      </x:c>
      <x:c r="I224" s="131" t="str">
        <x:f>IF(A224="","",Contrato!$C$30)</x:f>
      </x:c>
      <x:c r="J224" s="131" t="str">
        <x:f>IF(A224="","",Contrato!$C$31)</x:f>
      </x:c>
      <x:c r="K224" s="131" t="str">
        <x:f>IF(A224="","",ROUND(SUM(G224:J224),2))</x:f>
      </x:c>
      <x:c r="L224" s="80"/>
      <x:c r="M224" s="77"/>
      <x:c r="N224" s="29" t="str">
        <x:f>IF(A224="","",IF(L224&gt;=K224,"Paga",IF(L224&gt;0,"Paga parcialmente",IF(C224&lt;$A$5,"Vencida","Prevista"))))</x:f>
      </x:c>
      <x:c r="O224" s="29" t="str">
        <x:f>IF(A224="","",$A$5-C224)</x:f>
      </x:c>
      <x:c r="P224" s="131" t="str">
        <x:f>IF(A224="","",IF(AND(O224&gt;0,MAX(K224-L224,0)&gt;0,N224&lt;&gt;"Paga"),ROUND(MAX(K224-L224,0)*'Parâmetros'!$B$34,2),0))</x:f>
      </x:c>
      <x:c r="Q224" s="131" t="str">
        <x:f>IF(A224="","",IF(AND(O224&gt;0,MAX(K224-L224,0)&gt;0,N224&lt;&gt;"Paga"),ROUND(MAX(K224-L224,0)*'Parâmetros'!$B$35*(O224/'Parâmetros'!$B$33),2),0))</x:f>
      </x:c>
      <x:c r="R224" s="131" t="str">
        <x:f>IF(A224="","",IF(O224&gt;0,ROUND(MAX(K224-L224,0)+P224+Q224,2),0))</x:f>
      </x:c>
      <x:c r="S224" s="131" t="str">
        <x:f>IF(A224="","",IF(OR(N224="Paga",O224&gt;0),0,ROUND(IF(K224=0,0,G224*MAX(K224-L224,0)/K224)/(1+'Parâmetros'!$C$13)^((C224-$A$5)/30),2)))</x:f>
      </x:c>
      <x:c r="T224" s="131" t="str">
        <x:f>IF(A224="","",0)</x:f>
      </x:c>
      <x:c r="U224" s="131" t="str">
        <x:f>IF(A224="","",0)</x:f>
      </x:c>
      <x:c r="V224" s="131" t="str">
        <x:f>IF(A224="","",IF(N224="Paga",0,IF(O224&gt;0,R224,S224)))</x:f>
      </x:c>
      <x:c r="W224" s="131" t="str">
        <x:f>IF(A224="","",ROUND(MAX(D224-F224,0),2))</x:f>
      </x:c>
      <x:c r="X224" s="131" t="str">
        <x:f>IF(A224="","",ROUND(SUM($G224:$G$407),2))</x:f>
      </x:c>
      <x:c r="Y224" s="131" t="str">
        <x:f>IF(A224="","",ROUND(MAX(X224-D224,0),2))</x:f>
      </x:c>
      <x:c r="Z224" s="131" t="str">
        <x:f>IF(A224="","",ROUND(SUM($V224:$V$407),2))</x:f>
      </x:c>
      <x:c r="AA224" s="131" t="str">
        <x:f>IF(A224="","",ROUND(SUM($K224:$K$407)-Z224,2))</x:f>
      </x:c>
      <x:c r="AB224" s="77"/>
      <x:c r="AC224" s="36" t="str">
        <x:f>IF(A224="","",IF(O224&gt;0,"Vencido: saldo da fatura + mora",IF(O224&lt;=0,"Vincendo: VP da parcela financeira; comissão/proteção futuras isentas","")))</x:f>
      </x:c>
    </x:row>
    <x:row r="225">
      <x:c r="A225" s="129" t="str">
        <x:f>IF(ROW()-7&lt;=Contrato!$C$16,ROW()-7,"")</x:f>
      </x:c>
      <x:c r="B225" s="129" t="str">
        <x:f>IF(A225="","",Contrato!$C$16)</x:f>
      </x:c>
      <x:c r="C225" s="130" t="str">
        <x:f>IF(A225="","",IF(AB225&lt;&gt;"",AB225,IF(Contrato!$C$14="Mensal",EDATE(Contrato!$C$13,A225-1),Contrato!$C$13+(A225-1)*IF(Contrato!$C$14="Quinzenal",14,IF(Contrato!$C$14="Semanal",7,1)))))</x:f>
      </x:c>
      <x:c r="D225" s="131" t="str">
        <x:f>IF(A225="","",W224)</x:f>
      </x:c>
      <x:c r="E225" s="131" t="str">
        <x:f>IF(A225="","",ROUND(D225*Simulador!$I$18,2))</x:f>
      </x:c>
      <x:c r="F225" s="131" t="str">
        <x:f>IF(A225="","",ROUND(MIN(D225,MAX(G225-E225,0)),2))</x:f>
      </x:c>
      <x:c r="G225" s="131" t="str">
        <x:f>IF(A225="","",IF(A225&lt;Contrato!$C$16,Contrato!$C$27,Contrato!$C$28))</x:f>
      </x:c>
      <x:c r="H225" s="131" t="str">
        <x:f>IF(A225="","",Contrato!$C$29)</x:f>
      </x:c>
      <x:c r="I225" s="131" t="str">
        <x:f>IF(A225="","",Contrato!$C$30)</x:f>
      </x:c>
      <x:c r="J225" s="131" t="str">
        <x:f>IF(A225="","",Contrato!$C$31)</x:f>
      </x:c>
      <x:c r="K225" s="131" t="str">
        <x:f>IF(A225="","",ROUND(SUM(G225:J225),2))</x:f>
      </x:c>
      <x:c r="L225" s="80"/>
      <x:c r="M225" s="77"/>
      <x:c r="N225" s="29" t="str">
        <x:f>IF(A225="","",IF(L225&gt;=K225,"Paga",IF(L225&gt;0,"Paga parcialmente",IF(C225&lt;$A$5,"Vencida","Prevista"))))</x:f>
      </x:c>
      <x:c r="O225" s="29" t="str">
        <x:f>IF(A225="","",$A$5-C225)</x:f>
      </x:c>
      <x:c r="P225" s="131" t="str">
        <x:f>IF(A225="","",IF(AND(O225&gt;0,MAX(K225-L225,0)&gt;0,N225&lt;&gt;"Paga"),ROUND(MAX(K225-L225,0)*'Parâmetros'!$B$34,2),0))</x:f>
      </x:c>
      <x:c r="Q225" s="131" t="str">
        <x:f>IF(A225="","",IF(AND(O225&gt;0,MAX(K225-L225,0)&gt;0,N225&lt;&gt;"Paga"),ROUND(MAX(K225-L225,0)*'Parâmetros'!$B$35*(O225/'Parâmetros'!$B$33),2),0))</x:f>
      </x:c>
      <x:c r="R225" s="131" t="str">
        <x:f>IF(A225="","",IF(O225&gt;0,ROUND(MAX(K225-L225,0)+P225+Q225,2),0))</x:f>
      </x:c>
      <x:c r="S225" s="131" t="str">
        <x:f>IF(A225="","",IF(OR(N225="Paga",O225&gt;0),0,ROUND(IF(K225=0,0,G225*MAX(K225-L225,0)/K225)/(1+'Parâmetros'!$C$13)^((C225-$A$5)/30),2)))</x:f>
      </x:c>
      <x:c r="T225" s="131" t="str">
        <x:f>IF(A225="","",0)</x:f>
      </x:c>
      <x:c r="U225" s="131" t="str">
        <x:f>IF(A225="","",0)</x:f>
      </x:c>
      <x:c r="V225" s="131" t="str">
        <x:f>IF(A225="","",IF(N225="Paga",0,IF(O225&gt;0,R225,S225)))</x:f>
      </x:c>
      <x:c r="W225" s="131" t="str">
        <x:f>IF(A225="","",ROUND(MAX(D225-F225,0),2))</x:f>
      </x:c>
      <x:c r="X225" s="131" t="str">
        <x:f>IF(A225="","",ROUND(SUM($G225:$G$407),2))</x:f>
      </x:c>
      <x:c r="Y225" s="131" t="str">
        <x:f>IF(A225="","",ROUND(MAX(X225-D225,0),2))</x:f>
      </x:c>
      <x:c r="Z225" s="131" t="str">
        <x:f>IF(A225="","",ROUND(SUM($V225:$V$407),2))</x:f>
      </x:c>
      <x:c r="AA225" s="131" t="str">
        <x:f>IF(A225="","",ROUND(SUM($K225:$K$407)-Z225,2))</x:f>
      </x:c>
      <x:c r="AB225" s="77"/>
      <x:c r="AC225" s="36" t="str">
        <x:f>IF(A225="","",IF(O225&gt;0,"Vencido: saldo da fatura + mora",IF(O225&lt;=0,"Vincendo: VP da parcela financeira; comissão/proteção futuras isentas","")))</x:f>
      </x:c>
    </x:row>
    <x:row r="226">
      <x:c r="A226" s="129" t="str">
        <x:f>IF(ROW()-7&lt;=Contrato!$C$16,ROW()-7,"")</x:f>
      </x:c>
      <x:c r="B226" s="129" t="str">
        <x:f>IF(A226="","",Contrato!$C$16)</x:f>
      </x:c>
      <x:c r="C226" s="130" t="str">
        <x:f>IF(A226="","",IF(AB226&lt;&gt;"",AB226,IF(Contrato!$C$14="Mensal",EDATE(Contrato!$C$13,A226-1),Contrato!$C$13+(A226-1)*IF(Contrato!$C$14="Quinzenal",14,IF(Contrato!$C$14="Semanal",7,1)))))</x:f>
      </x:c>
      <x:c r="D226" s="131" t="str">
        <x:f>IF(A226="","",W225)</x:f>
      </x:c>
      <x:c r="E226" s="131" t="str">
        <x:f>IF(A226="","",ROUND(D226*Simulador!$I$18,2))</x:f>
      </x:c>
      <x:c r="F226" s="131" t="str">
        <x:f>IF(A226="","",ROUND(MIN(D226,MAX(G226-E226,0)),2))</x:f>
      </x:c>
      <x:c r="G226" s="131" t="str">
        <x:f>IF(A226="","",IF(A226&lt;Contrato!$C$16,Contrato!$C$27,Contrato!$C$28))</x:f>
      </x:c>
      <x:c r="H226" s="131" t="str">
        <x:f>IF(A226="","",Contrato!$C$29)</x:f>
      </x:c>
      <x:c r="I226" s="131" t="str">
        <x:f>IF(A226="","",Contrato!$C$30)</x:f>
      </x:c>
      <x:c r="J226" s="131" t="str">
        <x:f>IF(A226="","",Contrato!$C$31)</x:f>
      </x:c>
      <x:c r="K226" s="131" t="str">
        <x:f>IF(A226="","",ROUND(SUM(G226:J226),2))</x:f>
      </x:c>
      <x:c r="L226" s="80"/>
      <x:c r="M226" s="77"/>
      <x:c r="N226" s="29" t="str">
        <x:f>IF(A226="","",IF(L226&gt;=K226,"Paga",IF(L226&gt;0,"Paga parcialmente",IF(C226&lt;$A$5,"Vencida","Prevista"))))</x:f>
      </x:c>
      <x:c r="O226" s="29" t="str">
        <x:f>IF(A226="","",$A$5-C226)</x:f>
      </x:c>
      <x:c r="P226" s="131" t="str">
        <x:f>IF(A226="","",IF(AND(O226&gt;0,MAX(K226-L226,0)&gt;0,N226&lt;&gt;"Paga"),ROUND(MAX(K226-L226,0)*'Parâmetros'!$B$34,2),0))</x:f>
      </x:c>
      <x:c r="Q226" s="131" t="str">
        <x:f>IF(A226="","",IF(AND(O226&gt;0,MAX(K226-L226,0)&gt;0,N226&lt;&gt;"Paga"),ROUND(MAX(K226-L226,0)*'Parâmetros'!$B$35*(O226/'Parâmetros'!$B$33),2),0))</x:f>
      </x:c>
      <x:c r="R226" s="131" t="str">
        <x:f>IF(A226="","",IF(O226&gt;0,ROUND(MAX(K226-L226,0)+P226+Q226,2),0))</x:f>
      </x:c>
      <x:c r="S226" s="131" t="str">
        <x:f>IF(A226="","",IF(OR(N226="Paga",O226&gt;0),0,ROUND(IF(K226=0,0,G226*MAX(K226-L226,0)/K226)/(1+'Parâmetros'!$C$13)^((C226-$A$5)/30),2)))</x:f>
      </x:c>
      <x:c r="T226" s="131" t="str">
        <x:f>IF(A226="","",0)</x:f>
      </x:c>
      <x:c r="U226" s="131" t="str">
        <x:f>IF(A226="","",0)</x:f>
      </x:c>
      <x:c r="V226" s="131" t="str">
        <x:f>IF(A226="","",IF(N226="Paga",0,IF(O226&gt;0,R226,S226)))</x:f>
      </x:c>
      <x:c r="W226" s="131" t="str">
        <x:f>IF(A226="","",ROUND(MAX(D226-F226,0),2))</x:f>
      </x:c>
      <x:c r="X226" s="131" t="str">
        <x:f>IF(A226="","",ROUND(SUM($G226:$G$407),2))</x:f>
      </x:c>
      <x:c r="Y226" s="131" t="str">
        <x:f>IF(A226="","",ROUND(MAX(X226-D226,0),2))</x:f>
      </x:c>
      <x:c r="Z226" s="131" t="str">
        <x:f>IF(A226="","",ROUND(SUM($V226:$V$407),2))</x:f>
      </x:c>
      <x:c r="AA226" s="131" t="str">
        <x:f>IF(A226="","",ROUND(SUM($K226:$K$407)-Z226,2))</x:f>
      </x:c>
      <x:c r="AB226" s="77"/>
      <x:c r="AC226" s="36" t="str">
        <x:f>IF(A226="","",IF(O226&gt;0,"Vencido: saldo da fatura + mora",IF(O226&lt;=0,"Vincendo: VP da parcela financeira; comissão/proteção futuras isentas","")))</x:f>
      </x:c>
    </x:row>
    <x:row r="227">
      <x:c r="A227" s="129" t="str">
        <x:f>IF(ROW()-7&lt;=Contrato!$C$16,ROW()-7,"")</x:f>
      </x:c>
      <x:c r="B227" s="129" t="str">
        <x:f>IF(A227="","",Contrato!$C$16)</x:f>
      </x:c>
      <x:c r="C227" s="130" t="str">
        <x:f>IF(A227="","",IF(AB227&lt;&gt;"",AB227,IF(Contrato!$C$14="Mensal",EDATE(Contrato!$C$13,A227-1),Contrato!$C$13+(A227-1)*IF(Contrato!$C$14="Quinzenal",14,IF(Contrato!$C$14="Semanal",7,1)))))</x:f>
      </x:c>
      <x:c r="D227" s="131" t="str">
        <x:f>IF(A227="","",W226)</x:f>
      </x:c>
      <x:c r="E227" s="131" t="str">
        <x:f>IF(A227="","",ROUND(D227*Simulador!$I$18,2))</x:f>
      </x:c>
      <x:c r="F227" s="131" t="str">
        <x:f>IF(A227="","",ROUND(MIN(D227,MAX(G227-E227,0)),2))</x:f>
      </x:c>
      <x:c r="G227" s="131" t="str">
        <x:f>IF(A227="","",IF(A227&lt;Contrato!$C$16,Contrato!$C$27,Contrato!$C$28))</x:f>
      </x:c>
      <x:c r="H227" s="131" t="str">
        <x:f>IF(A227="","",Contrato!$C$29)</x:f>
      </x:c>
      <x:c r="I227" s="131" t="str">
        <x:f>IF(A227="","",Contrato!$C$30)</x:f>
      </x:c>
      <x:c r="J227" s="131" t="str">
        <x:f>IF(A227="","",Contrato!$C$31)</x:f>
      </x:c>
      <x:c r="K227" s="131" t="str">
        <x:f>IF(A227="","",ROUND(SUM(G227:J227),2))</x:f>
      </x:c>
      <x:c r="L227" s="80"/>
      <x:c r="M227" s="77"/>
      <x:c r="N227" s="29" t="str">
        <x:f>IF(A227="","",IF(L227&gt;=K227,"Paga",IF(L227&gt;0,"Paga parcialmente",IF(C227&lt;$A$5,"Vencida","Prevista"))))</x:f>
      </x:c>
      <x:c r="O227" s="29" t="str">
        <x:f>IF(A227="","",$A$5-C227)</x:f>
      </x:c>
      <x:c r="P227" s="131" t="str">
        <x:f>IF(A227="","",IF(AND(O227&gt;0,MAX(K227-L227,0)&gt;0,N227&lt;&gt;"Paga"),ROUND(MAX(K227-L227,0)*'Parâmetros'!$B$34,2),0))</x:f>
      </x:c>
      <x:c r="Q227" s="131" t="str">
        <x:f>IF(A227="","",IF(AND(O227&gt;0,MAX(K227-L227,0)&gt;0,N227&lt;&gt;"Paga"),ROUND(MAX(K227-L227,0)*'Parâmetros'!$B$35*(O227/'Parâmetros'!$B$33),2),0))</x:f>
      </x:c>
      <x:c r="R227" s="131" t="str">
        <x:f>IF(A227="","",IF(O227&gt;0,ROUND(MAX(K227-L227,0)+P227+Q227,2),0))</x:f>
      </x:c>
      <x:c r="S227" s="131" t="str">
        <x:f>IF(A227="","",IF(OR(N227="Paga",O227&gt;0),0,ROUND(IF(K227=0,0,G227*MAX(K227-L227,0)/K227)/(1+'Parâmetros'!$C$13)^((C227-$A$5)/30),2)))</x:f>
      </x:c>
      <x:c r="T227" s="131" t="str">
        <x:f>IF(A227="","",0)</x:f>
      </x:c>
      <x:c r="U227" s="131" t="str">
        <x:f>IF(A227="","",0)</x:f>
      </x:c>
      <x:c r="V227" s="131" t="str">
        <x:f>IF(A227="","",IF(N227="Paga",0,IF(O227&gt;0,R227,S227)))</x:f>
      </x:c>
      <x:c r="W227" s="131" t="str">
        <x:f>IF(A227="","",ROUND(MAX(D227-F227,0),2))</x:f>
      </x:c>
      <x:c r="X227" s="131" t="str">
        <x:f>IF(A227="","",ROUND(SUM($G227:$G$407),2))</x:f>
      </x:c>
      <x:c r="Y227" s="131" t="str">
        <x:f>IF(A227="","",ROUND(MAX(X227-D227,0),2))</x:f>
      </x:c>
      <x:c r="Z227" s="131" t="str">
        <x:f>IF(A227="","",ROUND(SUM($V227:$V$407),2))</x:f>
      </x:c>
      <x:c r="AA227" s="131" t="str">
        <x:f>IF(A227="","",ROUND(SUM($K227:$K$407)-Z227,2))</x:f>
      </x:c>
      <x:c r="AB227" s="77"/>
      <x:c r="AC227" s="36" t="str">
        <x:f>IF(A227="","",IF(O227&gt;0,"Vencido: saldo da fatura + mora",IF(O227&lt;=0,"Vincendo: VP da parcela financeira; comissão/proteção futuras isentas","")))</x:f>
      </x:c>
    </x:row>
    <x:row r="228">
      <x:c r="A228" s="129" t="str">
        <x:f>IF(ROW()-7&lt;=Contrato!$C$16,ROW()-7,"")</x:f>
      </x:c>
      <x:c r="B228" s="129" t="str">
        <x:f>IF(A228="","",Contrato!$C$16)</x:f>
      </x:c>
      <x:c r="C228" s="130" t="str">
        <x:f>IF(A228="","",IF(AB228&lt;&gt;"",AB228,IF(Contrato!$C$14="Mensal",EDATE(Contrato!$C$13,A228-1),Contrato!$C$13+(A228-1)*IF(Contrato!$C$14="Quinzenal",14,IF(Contrato!$C$14="Semanal",7,1)))))</x:f>
      </x:c>
      <x:c r="D228" s="131" t="str">
        <x:f>IF(A228="","",W227)</x:f>
      </x:c>
      <x:c r="E228" s="131" t="str">
        <x:f>IF(A228="","",ROUND(D228*Simulador!$I$18,2))</x:f>
      </x:c>
      <x:c r="F228" s="131" t="str">
        <x:f>IF(A228="","",ROUND(MIN(D228,MAX(G228-E228,0)),2))</x:f>
      </x:c>
      <x:c r="G228" s="131" t="str">
        <x:f>IF(A228="","",IF(A228&lt;Contrato!$C$16,Contrato!$C$27,Contrato!$C$28))</x:f>
      </x:c>
      <x:c r="H228" s="131" t="str">
        <x:f>IF(A228="","",Contrato!$C$29)</x:f>
      </x:c>
      <x:c r="I228" s="131" t="str">
        <x:f>IF(A228="","",Contrato!$C$30)</x:f>
      </x:c>
      <x:c r="J228" s="131" t="str">
        <x:f>IF(A228="","",Contrato!$C$31)</x:f>
      </x:c>
      <x:c r="K228" s="131" t="str">
        <x:f>IF(A228="","",ROUND(SUM(G228:J228),2))</x:f>
      </x:c>
      <x:c r="L228" s="80"/>
      <x:c r="M228" s="77"/>
      <x:c r="N228" s="29" t="str">
        <x:f>IF(A228="","",IF(L228&gt;=K228,"Paga",IF(L228&gt;0,"Paga parcialmente",IF(C228&lt;$A$5,"Vencida","Prevista"))))</x:f>
      </x:c>
      <x:c r="O228" s="29" t="str">
        <x:f>IF(A228="","",$A$5-C228)</x:f>
      </x:c>
      <x:c r="P228" s="131" t="str">
        <x:f>IF(A228="","",IF(AND(O228&gt;0,MAX(K228-L228,0)&gt;0,N228&lt;&gt;"Paga"),ROUND(MAX(K228-L228,0)*'Parâmetros'!$B$34,2),0))</x:f>
      </x:c>
      <x:c r="Q228" s="131" t="str">
        <x:f>IF(A228="","",IF(AND(O228&gt;0,MAX(K228-L228,0)&gt;0,N228&lt;&gt;"Paga"),ROUND(MAX(K228-L228,0)*'Parâmetros'!$B$35*(O228/'Parâmetros'!$B$33),2),0))</x:f>
      </x:c>
      <x:c r="R228" s="131" t="str">
        <x:f>IF(A228="","",IF(O228&gt;0,ROUND(MAX(K228-L228,0)+P228+Q228,2),0))</x:f>
      </x:c>
      <x:c r="S228" s="131" t="str">
        <x:f>IF(A228="","",IF(OR(N228="Paga",O228&gt;0),0,ROUND(IF(K228=0,0,G228*MAX(K228-L228,0)/K228)/(1+'Parâmetros'!$C$13)^((C228-$A$5)/30),2)))</x:f>
      </x:c>
      <x:c r="T228" s="131" t="str">
        <x:f>IF(A228="","",0)</x:f>
      </x:c>
      <x:c r="U228" s="131" t="str">
        <x:f>IF(A228="","",0)</x:f>
      </x:c>
      <x:c r="V228" s="131" t="str">
        <x:f>IF(A228="","",IF(N228="Paga",0,IF(O228&gt;0,R228,S228)))</x:f>
      </x:c>
      <x:c r="W228" s="131" t="str">
        <x:f>IF(A228="","",ROUND(MAX(D228-F228,0),2))</x:f>
      </x:c>
      <x:c r="X228" s="131" t="str">
        <x:f>IF(A228="","",ROUND(SUM($G228:$G$407),2))</x:f>
      </x:c>
      <x:c r="Y228" s="131" t="str">
        <x:f>IF(A228="","",ROUND(MAX(X228-D228,0),2))</x:f>
      </x:c>
      <x:c r="Z228" s="131" t="str">
        <x:f>IF(A228="","",ROUND(SUM($V228:$V$407),2))</x:f>
      </x:c>
      <x:c r="AA228" s="131" t="str">
        <x:f>IF(A228="","",ROUND(SUM($K228:$K$407)-Z228,2))</x:f>
      </x:c>
      <x:c r="AB228" s="77"/>
      <x:c r="AC228" s="36" t="str">
        <x:f>IF(A228="","",IF(O228&gt;0,"Vencido: saldo da fatura + mora",IF(O228&lt;=0,"Vincendo: VP da parcela financeira; comissão/proteção futuras isentas","")))</x:f>
      </x:c>
    </x:row>
    <x:row r="229">
      <x:c r="A229" s="129" t="str">
        <x:f>IF(ROW()-7&lt;=Contrato!$C$16,ROW()-7,"")</x:f>
      </x:c>
      <x:c r="B229" s="129" t="str">
        <x:f>IF(A229="","",Contrato!$C$16)</x:f>
      </x:c>
      <x:c r="C229" s="130" t="str">
        <x:f>IF(A229="","",IF(AB229&lt;&gt;"",AB229,IF(Contrato!$C$14="Mensal",EDATE(Contrato!$C$13,A229-1),Contrato!$C$13+(A229-1)*IF(Contrato!$C$14="Quinzenal",14,IF(Contrato!$C$14="Semanal",7,1)))))</x:f>
      </x:c>
      <x:c r="D229" s="131" t="str">
        <x:f>IF(A229="","",W228)</x:f>
      </x:c>
      <x:c r="E229" s="131" t="str">
        <x:f>IF(A229="","",ROUND(D229*Simulador!$I$18,2))</x:f>
      </x:c>
      <x:c r="F229" s="131" t="str">
        <x:f>IF(A229="","",ROUND(MIN(D229,MAX(G229-E229,0)),2))</x:f>
      </x:c>
      <x:c r="G229" s="131" t="str">
        <x:f>IF(A229="","",IF(A229&lt;Contrato!$C$16,Contrato!$C$27,Contrato!$C$28))</x:f>
      </x:c>
      <x:c r="H229" s="131" t="str">
        <x:f>IF(A229="","",Contrato!$C$29)</x:f>
      </x:c>
      <x:c r="I229" s="131" t="str">
        <x:f>IF(A229="","",Contrato!$C$30)</x:f>
      </x:c>
      <x:c r="J229" s="131" t="str">
        <x:f>IF(A229="","",Contrato!$C$31)</x:f>
      </x:c>
      <x:c r="K229" s="131" t="str">
        <x:f>IF(A229="","",ROUND(SUM(G229:J229),2))</x:f>
      </x:c>
      <x:c r="L229" s="80"/>
      <x:c r="M229" s="77"/>
      <x:c r="N229" s="29" t="str">
        <x:f>IF(A229="","",IF(L229&gt;=K229,"Paga",IF(L229&gt;0,"Paga parcialmente",IF(C229&lt;$A$5,"Vencida","Prevista"))))</x:f>
      </x:c>
      <x:c r="O229" s="29" t="str">
        <x:f>IF(A229="","",$A$5-C229)</x:f>
      </x:c>
      <x:c r="P229" s="131" t="str">
        <x:f>IF(A229="","",IF(AND(O229&gt;0,MAX(K229-L229,0)&gt;0,N229&lt;&gt;"Paga"),ROUND(MAX(K229-L229,0)*'Parâmetros'!$B$34,2),0))</x:f>
      </x:c>
      <x:c r="Q229" s="131" t="str">
        <x:f>IF(A229="","",IF(AND(O229&gt;0,MAX(K229-L229,0)&gt;0,N229&lt;&gt;"Paga"),ROUND(MAX(K229-L229,0)*'Parâmetros'!$B$35*(O229/'Parâmetros'!$B$33),2),0))</x:f>
      </x:c>
      <x:c r="R229" s="131" t="str">
        <x:f>IF(A229="","",IF(O229&gt;0,ROUND(MAX(K229-L229,0)+P229+Q229,2),0))</x:f>
      </x:c>
      <x:c r="S229" s="131" t="str">
        <x:f>IF(A229="","",IF(OR(N229="Paga",O229&gt;0),0,ROUND(IF(K229=0,0,G229*MAX(K229-L229,0)/K229)/(1+'Parâmetros'!$C$13)^((C229-$A$5)/30),2)))</x:f>
      </x:c>
      <x:c r="T229" s="131" t="str">
        <x:f>IF(A229="","",0)</x:f>
      </x:c>
      <x:c r="U229" s="131" t="str">
        <x:f>IF(A229="","",0)</x:f>
      </x:c>
      <x:c r="V229" s="131" t="str">
        <x:f>IF(A229="","",IF(N229="Paga",0,IF(O229&gt;0,R229,S229)))</x:f>
      </x:c>
      <x:c r="W229" s="131" t="str">
        <x:f>IF(A229="","",ROUND(MAX(D229-F229,0),2))</x:f>
      </x:c>
      <x:c r="X229" s="131" t="str">
        <x:f>IF(A229="","",ROUND(SUM($G229:$G$407),2))</x:f>
      </x:c>
      <x:c r="Y229" s="131" t="str">
        <x:f>IF(A229="","",ROUND(MAX(X229-D229,0),2))</x:f>
      </x:c>
      <x:c r="Z229" s="131" t="str">
        <x:f>IF(A229="","",ROUND(SUM($V229:$V$407),2))</x:f>
      </x:c>
      <x:c r="AA229" s="131" t="str">
        <x:f>IF(A229="","",ROUND(SUM($K229:$K$407)-Z229,2))</x:f>
      </x:c>
      <x:c r="AB229" s="77"/>
      <x:c r="AC229" s="36" t="str">
        <x:f>IF(A229="","",IF(O229&gt;0,"Vencido: saldo da fatura + mora",IF(O229&lt;=0,"Vincendo: VP da parcela financeira; comissão/proteção futuras isentas","")))</x:f>
      </x:c>
    </x:row>
    <x:row r="230">
      <x:c r="A230" s="129" t="str">
        <x:f>IF(ROW()-7&lt;=Contrato!$C$16,ROW()-7,"")</x:f>
      </x:c>
      <x:c r="B230" s="129" t="str">
        <x:f>IF(A230="","",Contrato!$C$16)</x:f>
      </x:c>
      <x:c r="C230" s="130" t="str">
        <x:f>IF(A230="","",IF(AB230&lt;&gt;"",AB230,IF(Contrato!$C$14="Mensal",EDATE(Contrato!$C$13,A230-1),Contrato!$C$13+(A230-1)*IF(Contrato!$C$14="Quinzenal",14,IF(Contrato!$C$14="Semanal",7,1)))))</x:f>
      </x:c>
      <x:c r="D230" s="131" t="str">
        <x:f>IF(A230="","",W229)</x:f>
      </x:c>
      <x:c r="E230" s="131" t="str">
        <x:f>IF(A230="","",ROUND(D230*Simulador!$I$18,2))</x:f>
      </x:c>
      <x:c r="F230" s="131" t="str">
        <x:f>IF(A230="","",ROUND(MIN(D230,MAX(G230-E230,0)),2))</x:f>
      </x:c>
      <x:c r="G230" s="131" t="str">
        <x:f>IF(A230="","",IF(A230&lt;Contrato!$C$16,Contrato!$C$27,Contrato!$C$28))</x:f>
      </x:c>
      <x:c r="H230" s="131" t="str">
        <x:f>IF(A230="","",Contrato!$C$29)</x:f>
      </x:c>
      <x:c r="I230" s="131" t="str">
        <x:f>IF(A230="","",Contrato!$C$30)</x:f>
      </x:c>
      <x:c r="J230" s="131" t="str">
        <x:f>IF(A230="","",Contrato!$C$31)</x:f>
      </x:c>
      <x:c r="K230" s="131" t="str">
        <x:f>IF(A230="","",ROUND(SUM(G230:J230),2))</x:f>
      </x:c>
      <x:c r="L230" s="80"/>
      <x:c r="M230" s="77"/>
      <x:c r="N230" s="29" t="str">
        <x:f>IF(A230="","",IF(L230&gt;=K230,"Paga",IF(L230&gt;0,"Paga parcialmente",IF(C230&lt;$A$5,"Vencida","Prevista"))))</x:f>
      </x:c>
      <x:c r="O230" s="29" t="str">
        <x:f>IF(A230="","",$A$5-C230)</x:f>
      </x:c>
      <x:c r="P230" s="131" t="str">
        <x:f>IF(A230="","",IF(AND(O230&gt;0,MAX(K230-L230,0)&gt;0,N230&lt;&gt;"Paga"),ROUND(MAX(K230-L230,0)*'Parâmetros'!$B$34,2),0))</x:f>
      </x:c>
      <x:c r="Q230" s="131" t="str">
        <x:f>IF(A230="","",IF(AND(O230&gt;0,MAX(K230-L230,0)&gt;0,N230&lt;&gt;"Paga"),ROUND(MAX(K230-L230,0)*'Parâmetros'!$B$35*(O230/'Parâmetros'!$B$33),2),0))</x:f>
      </x:c>
      <x:c r="R230" s="131" t="str">
        <x:f>IF(A230="","",IF(O230&gt;0,ROUND(MAX(K230-L230,0)+P230+Q230,2),0))</x:f>
      </x:c>
      <x:c r="S230" s="131" t="str">
        <x:f>IF(A230="","",IF(OR(N230="Paga",O230&gt;0),0,ROUND(IF(K230=0,0,G230*MAX(K230-L230,0)/K230)/(1+'Parâmetros'!$C$13)^((C230-$A$5)/30),2)))</x:f>
      </x:c>
      <x:c r="T230" s="131" t="str">
        <x:f>IF(A230="","",0)</x:f>
      </x:c>
      <x:c r="U230" s="131" t="str">
        <x:f>IF(A230="","",0)</x:f>
      </x:c>
      <x:c r="V230" s="131" t="str">
        <x:f>IF(A230="","",IF(N230="Paga",0,IF(O230&gt;0,R230,S230)))</x:f>
      </x:c>
      <x:c r="W230" s="131" t="str">
        <x:f>IF(A230="","",ROUND(MAX(D230-F230,0),2))</x:f>
      </x:c>
      <x:c r="X230" s="131" t="str">
        <x:f>IF(A230="","",ROUND(SUM($G230:$G$407),2))</x:f>
      </x:c>
      <x:c r="Y230" s="131" t="str">
        <x:f>IF(A230="","",ROUND(MAX(X230-D230,0),2))</x:f>
      </x:c>
      <x:c r="Z230" s="131" t="str">
        <x:f>IF(A230="","",ROUND(SUM($V230:$V$407),2))</x:f>
      </x:c>
      <x:c r="AA230" s="131" t="str">
        <x:f>IF(A230="","",ROUND(SUM($K230:$K$407)-Z230,2))</x:f>
      </x:c>
      <x:c r="AB230" s="77"/>
      <x:c r="AC230" s="36" t="str">
        <x:f>IF(A230="","",IF(O230&gt;0,"Vencido: saldo da fatura + mora",IF(O230&lt;=0,"Vincendo: VP da parcela financeira; comissão/proteção futuras isentas","")))</x:f>
      </x:c>
    </x:row>
    <x:row r="231">
      <x:c r="A231" s="129" t="str">
        <x:f>IF(ROW()-7&lt;=Contrato!$C$16,ROW()-7,"")</x:f>
      </x:c>
      <x:c r="B231" s="129" t="str">
        <x:f>IF(A231="","",Contrato!$C$16)</x:f>
      </x:c>
      <x:c r="C231" s="130" t="str">
        <x:f>IF(A231="","",IF(AB231&lt;&gt;"",AB231,IF(Contrato!$C$14="Mensal",EDATE(Contrato!$C$13,A231-1),Contrato!$C$13+(A231-1)*IF(Contrato!$C$14="Quinzenal",14,IF(Contrato!$C$14="Semanal",7,1)))))</x:f>
      </x:c>
      <x:c r="D231" s="131" t="str">
        <x:f>IF(A231="","",W230)</x:f>
      </x:c>
      <x:c r="E231" s="131" t="str">
        <x:f>IF(A231="","",ROUND(D231*Simulador!$I$18,2))</x:f>
      </x:c>
      <x:c r="F231" s="131" t="str">
        <x:f>IF(A231="","",ROUND(MIN(D231,MAX(G231-E231,0)),2))</x:f>
      </x:c>
      <x:c r="G231" s="131" t="str">
        <x:f>IF(A231="","",IF(A231&lt;Contrato!$C$16,Contrato!$C$27,Contrato!$C$28))</x:f>
      </x:c>
      <x:c r="H231" s="131" t="str">
        <x:f>IF(A231="","",Contrato!$C$29)</x:f>
      </x:c>
      <x:c r="I231" s="131" t="str">
        <x:f>IF(A231="","",Contrato!$C$30)</x:f>
      </x:c>
      <x:c r="J231" s="131" t="str">
        <x:f>IF(A231="","",Contrato!$C$31)</x:f>
      </x:c>
      <x:c r="K231" s="131" t="str">
        <x:f>IF(A231="","",ROUND(SUM(G231:J231),2))</x:f>
      </x:c>
      <x:c r="L231" s="80"/>
      <x:c r="M231" s="77"/>
      <x:c r="N231" s="29" t="str">
        <x:f>IF(A231="","",IF(L231&gt;=K231,"Paga",IF(L231&gt;0,"Paga parcialmente",IF(C231&lt;$A$5,"Vencida","Prevista"))))</x:f>
      </x:c>
      <x:c r="O231" s="29" t="str">
        <x:f>IF(A231="","",$A$5-C231)</x:f>
      </x:c>
      <x:c r="P231" s="131" t="str">
        <x:f>IF(A231="","",IF(AND(O231&gt;0,MAX(K231-L231,0)&gt;0,N231&lt;&gt;"Paga"),ROUND(MAX(K231-L231,0)*'Parâmetros'!$B$34,2),0))</x:f>
      </x:c>
      <x:c r="Q231" s="131" t="str">
        <x:f>IF(A231="","",IF(AND(O231&gt;0,MAX(K231-L231,0)&gt;0,N231&lt;&gt;"Paga"),ROUND(MAX(K231-L231,0)*'Parâmetros'!$B$35*(O231/'Parâmetros'!$B$33),2),0))</x:f>
      </x:c>
      <x:c r="R231" s="131" t="str">
        <x:f>IF(A231="","",IF(O231&gt;0,ROUND(MAX(K231-L231,0)+P231+Q231,2),0))</x:f>
      </x:c>
      <x:c r="S231" s="131" t="str">
        <x:f>IF(A231="","",IF(OR(N231="Paga",O231&gt;0),0,ROUND(IF(K231=0,0,G231*MAX(K231-L231,0)/K231)/(1+'Parâmetros'!$C$13)^((C231-$A$5)/30),2)))</x:f>
      </x:c>
      <x:c r="T231" s="131" t="str">
        <x:f>IF(A231="","",0)</x:f>
      </x:c>
      <x:c r="U231" s="131" t="str">
        <x:f>IF(A231="","",0)</x:f>
      </x:c>
      <x:c r="V231" s="131" t="str">
        <x:f>IF(A231="","",IF(N231="Paga",0,IF(O231&gt;0,R231,S231)))</x:f>
      </x:c>
      <x:c r="W231" s="131" t="str">
        <x:f>IF(A231="","",ROUND(MAX(D231-F231,0),2))</x:f>
      </x:c>
      <x:c r="X231" s="131" t="str">
        <x:f>IF(A231="","",ROUND(SUM($G231:$G$407),2))</x:f>
      </x:c>
      <x:c r="Y231" s="131" t="str">
        <x:f>IF(A231="","",ROUND(MAX(X231-D231,0),2))</x:f>
      </x:c>
      <x:c r="Z231" s="131" t="str">
        <x:f>IF(A231="","",ROUND(SUM($V231:$V$407),2))</x:f>
      </x:c>
      <x:c r="AA231" s="131" t="str">
        <x:f>IF(A231="","",ROUND(SUM($K231:$K$407)-Z231,2))</x:f>
      </x:c>
      <x:c r="AB231" s="77"/>
      <x:c r="AC231" s="36" t="str">
        <x:f>IF(A231="","",IF(O231&gt;0,"Vencido: saldo da fatura + mora",IF(O231&lt;=0,"Vincendo: VP da parcela financeira; comissão/proteção futuras isentas","")))</x:f>
      </x:c>
    </x:row>
    <x:row r="232">
      <x:c r="A232" s="129" t="str">
        <x:f>IF(ROW()-7&lt;=Contrato!$C$16,ROW()-7,"")</x:f>
      </x:c>
      <x:c r="B232" s="129" t="str">
        <x:f>IF(A232="","",Contrato!$C$16)</x:f>
      </x:c>
      <x:c r="C232" s="130" t="str">
        <x:f>IF(A232="","",IF(AB232&lt;&gt;"",AB232,IF(Contrato!$C$14="Mensal",EDATE(Contrato!$C$13,A232-1),Contrato!$C$13+(A232-1)*IF(Contrato!$C$14="Quinzenal",14,IF(Contrato!$C$14="Semanal",7,1)))))</x:f>
      </x:c>
      <x:c r="D232" s="131" t="str">
        <x:f>IF(A232="","",W231)</x:f>
      </x:c>
      <x:c r="E232" s="131" t="str">
        <x:f>IF(A232="","",ROUND(D232*Simulador!$I$18,2))</x:f>
      </x:c>
      <x:c r="F232" s="131" t="str">
        <x:f>IF(A232="","",ROUND(MIN(D232,MAX(G232-E232,0)),2))</x:f>
      </x:c>
      <x:c r="G232" s="131" t="str">
        <x:f>IF(A232="","",IF(A232&lt;Contrato!$C$16,Contrato!$C$27,Contrato!$C$28))</x:f>
      </x:c>
      <x:c r="H232" s="131" t="str">
        <x:f>IF(A232="","",Contrato!$C$29)</x:f>
      </x:c>
      <x:c r="I232" s="131" t="str">
        <x:f>IF(A232="","",Contrato!$C$30)</x:f>
      </x:c>
      <x:c r="J232" s="131" t="str">
        <x:f>IF(A232="","",Contrato!$C$31)</x:f>
      </x:c>
      <x:c r="K232" s="131" t="str">
        <x:f>IF(A232="","",ROUND(SUM(G232:J232),2))</x:f>
      </x:c>
      <x:c r="L232" s="80"/>
      <x:c r="M232" s="77"/>
      <x:c r="N232" s="29" t="str">
        <x:f>IF(A232="","",IF(L232&gt;=K232,"Paga",IF(L232&gt;0,"Paga parcialmente",IF(C232&lt;$A$5,"Vencida","Prevista"))))</x:f>
      </x:c>
      <x:c r="O232" s="29" t="str">
        <x:f>IF(A232="","",$A$5-C232)</x:f>
      </x:c>
      <x:c r="P232" s="131" t="str">
        <x:f>IF(A232="","",IF(AND(O232&gt;0,MAX(K232-L232,0)&gt;0,N232&lt;&gt;"Paga"),ROUND(MAX(K232-L232,0)*'Parâmetros'!$B$34,2),0))</x:f>
      </x:c>
      <x:c r="Q232" s="131" t="str">
        <x:f>IF(A232="","",IF(AND(O232&gt;0,MAX(K232-L232,0)&gt;0,N232&lt;&gt;"Paga"),ROUND(MAX(K232-L232,0)*'Parâmetros'!$B$35*(O232/'Parâmetros'!$B$33),2),0))</x:f>
      </x:c>
      <x:c r="R232" s="131" t="str">
        <x:f>IF(A232="","",IF(O232&gt;0,ROUND(MAX(K232-L232,0)+P232+Q232,2),0))</x:f>
      </x:c>
      <x:c r="S232" s="131" t="str">
        <x:f>IF(A232="","",IF(OR(N232="Paga",O232&gt;0),0,ROUND(IF(K232=0,0,G232*MAX(K232-L232,0)/K232)/(1+'Parâmetros'!$C$13)^((C232-$A$5)/30),2)))</x:f>
      </x:c>
      <x:c r="T232" s="131" t="str">
        <x:f>IF(A232="","",0)</x:f>
      </x:c>
      <x:c r="U232" s="131" t="str">
        <x:f>IF(A232="","",0)</x:f>
      </x:c>
      <x:c r="V232" s="131" t="str">
        <x:f>IF(A232="","",IF(N232="Paga",0,IF(O232&gt;0,R232,S232)))</x:f>
      </x:c>
      <x:c r="W232" s="131" t="str">
        <x:f>IF(A232="","",ROUND(MAX(D232-F232,0),2))</x:f>
      </x:c>
      <x:c r="X232" s="131" t="str">
        <x:f>IF(A232="","",ROUND(SUM($G232:$G$407),2))</x:f>
      </x:c>
      <x:c r="Y232" s="131" t="str">
        <x:f>IF(A232="","",ROUND(MAX(X232-D232,0),2))</x:f>
      </x:c>
      <x:c r="Z232" s="131" t="str">
        <x:f>IF(A232="","",ROUND(SUM($V232:$V$407),2))</x:f>
      </x:c>
      <x:c r="AA232" s="131" t="str">
        <x:f>IF(A232="","",ROUND(SUM($K232:$K$407)-Z232,2))</x:f>
      </x:c>
      <x:c r="AB232" s="77"/>
      <x:c r="AC232" s="36" t="str">
        <x:f>IF(A232="","",IF(O232&gt;0,"Vencido: saldo da fatura + mora",IF(O232&lt;=0,"Vincendo: VP da parcela financeira; comissão/proteção futuras isentas","")))</x:f>
      </x:c>
    </x:row>
    <x:row r="233">
      <x:c r="A233" s="129" t="str">
        <x:f>IF(ROW()-7&lt;=Contrato!$C$16,ROW()-7,"")</x:f>
      </x:c>
      <x:c r="B233" s="129" t="str">
        <x:f>IF(A233="","",Contrato!$C$16)</x:f>
      </x:c>
      <x:c r="C233" s="130" t="str">
        <x:f>IF(A233="","",IF(AB233&lt;&gt;"",AB233,IF(Contrato!$C$14="Mensal",EDATE(Contrato!$C$13,A233-1),Contrato!$C$13+(A233-1)*IF(Contrato!$C$14="Quinzenal",14,IF(Contrato!$C$14="Semanal",7,1)))))</x:f>
      </x:c>
      <x:c r="D233" s="131" t="str">
        <x:f>IF(A233="","",W232)</x:f>
      </x:c>
      <x:c r="E233" s="131" t="str">
        <x:f>IF(A233="","",ROUND(D233*Simulador!$I$18,2))</x:f>
      </x:c>
      <x:c r="F233" s="131" t="str">
        <x:f>IF(A233="","",ROUND(MIN(D233,MAX(G233-E233,0)),2))</x:f>
      </x:c>
      <x:c r="G233" s="131" t="str">
        <x:f>IF(A233="","",IF(A233&lt;Contrato!$C$16,Contrato!$C$27,Contrato!$C$28))</x:f>
      </x:c>
      <x:c r="H233" s="131" t="str">
        <x:f>IF(A233="","",Contrato!$C$29)</x:f>
      </x:c>
      <x:c r="I233" s="131" t="str">
        <x:f>IF(A233="","",Contrato!$C$30)</x:f>
      </x:c>
      <x:c r="J233" s="131" t="str">
        <x:f>IF(A233="","",Contrato!$C$31)</x:f>
      </x:c>
      <x:c r="K233" s="131" t="str">
        <x:f>IF(A233="","",ROUND(SUM(G233:J233),2))</x:f>
      </x:c>
      <x:c r="L233" s="80"/>
      <x:c r="M233" s="77"/>
      <x:c r="N233" s="29" t="str">
        <x:f>IF(A233="","",IF(L233&gt;=K233,"Paga",IF(L233&gt;0,"Paga parcialmente",IF(C233&lt;$A$5,"Vencida","Prevista"))))</x:f>
      </x:c>
      <x:c r="O233" s="29" t="str">
        <x:f>IF(A233="","",$A$5-C233)</x:f>
      </x:c>
      <x:c r="P233" s="131" t="str">
        <x:f>IF(A233="","",IF(AND(O233&gt;0,MAX(K233-L233,0)&gt;0,N233&lt;&gt;"Paga"),ROUND(MAX(K233-L233,0)*'Parâmetros'!$B$34,2),0))</x:f>
      </x:c>
      <x:c r="Q233" s="131" t="str">
        <x:f>IF(A233="","",IF(AND(O233&gt;0,MAX(K233-L233,0)&gt;0,N233&lt;&gt;"Paga"),ROUND(MAX(K233-L233,0)*'Parâmetros'!$B$35*(O233/'Parâmetros'!$B$33),2),0))</x:f>
      </x:c>
      <x:c r="R233" s="131" t="str">
        <x:f>IF(A233="","",IF(O233&gt;0,ROUND(MAX(K233-L233,0)+P233+Q233,2),0))</x:f>
      </x:c>
      <x:c r="S233" s="131" t="str">
        <x:f>IF(A233="","",IF(OR(N233="Paga",O233&gt;0),0,ROUND(IF(K233=0,0,G233*MAX(K233-L233,0)/K233)/(1+'Parâmetros'!$C$13)^((C233-$A$5)/30),2)))</x:f>
      </x:c>
      <x:c r="T233" s="131" t="str">
        <x:f>IF(A233="","",0)</x:f>
      </x:c>
      <x:c r="U233" s="131" t="str">
        <x:f>IF(A233="","",0)</x:f>
      </x:c>
      <x:c r="V233" s="131" t="str">
        <x:f>IF(A233="","",IF(N233="Paga",0,IF(O233&gt;0,R233,S233)))</x:f>
      </x:c>
      <x:c r="W233" s="131" t="str">
        <x:f>IF(A233="","",ROUND(MAX(D233-F233,0),2))</x:f>
      </x:c>
      <x:c r="X233" s="131" t="str">
        <x:f>IF(A233="","",ROUND(SUM($G233:$G$407),2))</x:f>
      </x:c>
      <x:c r="Y233" s="131" t="str">
        <x:f>IF(A233="","",ROUND(MAX(X233-D233,0),2))</x:f>
      </x:c>
      <x:c r="Z233" s="131" t="str">
        <x:f>IF(A233="","",ROUND(SUM($V233:$V$407),2))</x:f>
      </x:c>
      <x:c r="AA233" s="131" t="str">
        <x:f>IF(A233="","",ROUND(SUM($K233:$K$407)-Z233,2))</x:f>
      </x:c>
      <x:c r="AB233" s="77"/>
      <x:c r="AC233" s="36" t="str">
        <x:f>IF(A233="","",IF(O233&gt;0,"Vencido: saldo da fatura + mora",IF(O233&lt;=0,"Vincendo: VP da parcela financeira; comissão/proteção futuras isentas","")))</x:f>
      </x:c>
    </x:row>
    <x:row r="234">
      <x:c r="A234" s="129" t="str">
        <x:f>IF(ROW()-7&lt;=Contrato!$C$16,ROW()-7,"")</x:f>
      </x:c>
      <x:c r="B234" s="129" t="str">
        <x:f>IF(A234="","",Contrato!$C$16)</x:f>
      </x:c>
      <x:c r="C234" s="130" t="str">
        <x:f>IF(A234="","",IF(AB234&lt;&gt;"",AB234,IF(Contrato!$C$14="Mensal",EDATE(Contrato!$C$13,A234-1),Contrato!$C$13+(A234-1)*IF(Contrato!$C$14="Quinzenal",14,IF(Contrato!$C$14="Semanal",7,1)))))</x:f>
      </x:c>
      <x:c r="D234" s="131" t="str">
        <x:f>IF(A234="","",W233)</x:f>
      </x:c>
      <x:c r="E234" s="131" t="str">
        <x:f>IF(A234="","",ROUND(D234*Simulador!$I$18,2))</x:f>
      </x:c>
      <x:c r="F234" s="131" t="str">
        <x:f>IF(A234="","",ROUND(MIN(D234,MAX(G234-E234,0)),2))</x:f>
      </x:c>
      <x:c r="G234" s="131" t="str">
        <x:f>IF(A234="","",IF(A234&lt;Contrato!$C$16,Contrato!$C$27,Contrato!$C$28))</x:f>
      </x:c>
      <x:c r="H234" s="131" t="str">
        <x:f>IF(A234="","",Contrato!$C$29)</x:f>
      </x:c>
      <x:c r="I234" s="131" t="str">
        <x:f>IF(A234="","",Contrato!$C$30)</x:f>
      </x:c>
      <x:c r="J234" s="131" t="str">
        <x:f>IF(A234="","",Contrato!$C$31)</x:f>
      </x:c>
      <x:c r="K234" s="131" t="str">
        <x:f>IF(A234="","",ROUND(SUM(G234:J234),2))</x:f>
      </x:c>
      <x:c r="L234" s="80"/>
      <x:c r="M234" s="77"/>
      <x:c r="N234" s="29" t="str">
        <x:f>IF(A234="","",IF(L234&gt;=K234,"Paga",IF(L234&gt;0,"Paga parcialmente",IF(C234&lt;$A$5,"Vencida","Prevista"))))</x:f>
      </x:c>
      <x:c r="O234" s="29" t="str">
        <x:f>IF(A234="","",$A$5-C234)</x:f>
      </x:c>
      <x:c r="P234" s="131" t="str">
        <x:f>IF(A234="","",IF(AND(O234&gt;0,MAX(K234-L234,0)&gt;0,N234&lt;&gt;"Paga"),ROUND(MAX(K234-L234,0)*'Parâmetros'!$B$34,2),0))</x:f>
      </x:c>
      <x:c r="Q234" s="131" t="str">
        <x:f>IF(A234="","",IF(AND(O234&gt;0,MAX(K234-L234,0)&gt;0,N234&lt;&gt;"Paga"),ROUND(MAX(K234-L234,0)*'Parâmetros'!$B$35*(O234/'Parâmetros'!$B$33),2),0))</x:f>
      </x:c>
      <x:c r="R234" s="131" t="str">
        <x:f>IF(A234="","",IF(O234&gt;0,ROUND(MAX(K234-L234,0)+P234+Q234,2),0))</x:f>
      </x:c>
      <x:c r="S234" s="131" t="str">
        <x:f>IF(A234="","",IF(OR(N234="Paga",O234&gt;0),0,ROUND(IF(K234=0,0,G234*MAX(K234-L234,0)/K234)/(1+'Parâmetros'!$C$13)^((C234-$A$5)/30),2)))</x:f>
      </x:c>
      <x:c r="T234" s="131" t="str">
        <x:f>IF(A234="","",0)</x:f>
      </x:c>
      <x:c r="U234" s="131" t="str">
        <x:f>IF(A234="","",0)</x:f>
      </x:c>
      <x:c r="V234" s="131" t="str">
        <x:f>IF(A234="","",IF(N234="Paga",0,IF(O234&gt;0,R234,S234)))</x:f>
      </x:c>
      <x:c r="W234" s="131" t="str">
        <x:f>IF(A234="","",ROUND(MAX(D234-F234,0),2))</x:f>
      </x:c>
      <x:c r="X234" s="131" t="str">
        <x:f>IF(A234="","",ROUND(SUM($G234:$G$407),2))</x:f>
      </x:c>
      <x:c r="Y234" s="131" t="str">
        <x:f>IF(A234="","",ROUND(MAX(X234-D234,0),2))</x:f>
      </x:c>
      <x:c r="Z234" s="131" t="str">
        <x:f>IF(A234="","",ROUND(SUM($V234:$V$407),2))</x:f>
      </x:c>
      <x:c r="AA234" s="131" t="str">
        <x:f>IF(A234="","",ROUND(SUM($K234:$K$407)-Z234,2))</x:f>
      </x:c>
      <x:c r="AB234" s="77"/>
      <x:c r="AC234" s="36" t="str">
        <x:f>IF(A234="","",IF(O234&gt;0,"Vencido: saldo da fatura + mora",IF(O234&lt;=0,"Vincendo: VP da parcela financeira; comissão/proteção futuras isentas","")))</x:f>
      </x:c>
    </x:row>
    <x:row r="235">
      <x:c r="A235" s="129" t="str">
        <x:f>IF(ROW()-7&lt;=Contrato!$C$16,ROW()-7,"")</x:f>
      </x:c>
      <x:c r="B235" s="129" t="str">
        <x:f>IF(A235="","",Contrato!$C$16)</x:f>
      </x:c>
      <x:c r="C235" s="130" t="str">
        <x:f>IF(A235="","",IF(AB235&lt;&gt;"",AB235,IF(Contrato!$C$14="Mensal",EDATE(Contrato!$C$13,A235-1),Contrato!$C$13+(A235-1)*IF(Contrato!$C$14="Quinzenal",14,IF(Contrato!$C$14="Semanal",7,1)))))</x:f>
      </x:c>
      <x:c r="D235" s="131" t="str">
        <x:f>IF(A235="","",W234)</x:f>
      </x:c>
      <x:c r="E235" s="131" t="str">
        <x:f>IF(A235="","",ROUND(D235*Simulador!$I$18,2))</x:f>
      </x:c>
      <x:c r="F235" s="131" t="str">
        <x:f>IF(A235="","",ROUND(MIN(D235,MAX(G235-E235,0)),2))</x:f>
      </x:c>
      <x:c r="G235" s="131" t="str">
        <x:f>IF(A235="","",IF(A235&lt;Contrato!$C$16,Contrato!$C$27,Contrato!$C$28))</x:f>
      </x:c>
      <x:c r="H235" s="131" t="str">
        <x:f>IF(A235="","",Contrato!$C$29)</x:f>
      </x:c>
      <x:c r="I235" s="131" t="str">
        <x:f>IF(A235="","",Contrato!$C$30)</x:f>
      </x:c>
      <x:c r="J235" s="131" t="str">
        <x:f>IF(A235="","",Contrato!$C$31)</x:f>
      </x:c>
      <x:c r="K235" s="131" t="str">
        <x:f>IF(A235="","",ROUND(SUM(G235:J235),2))</x:f>
      </x:c>
      <x:c r="L235" s="80"/>
      <x:c r="M235" s="77"/>
      <x:c r="N235" s="29" t="str">
        <x:f>IF(A235="","",IF(L235&gt;=K235,"Paga",IF(L235&gt;0,"Paga parcialmente",IF(C235&lt;$A$5,"Vencida","Prevista"))))</x:f>
      </x:c>
      <x:c r="O235" s="29" t="str">
        <x:f>IF(A235="","",$A$5-C235)</x:f>
      </x:c>
      <x:c r="P235" s="131" t="str">
        <x:f>IF(A235="","",IF(AND(O235&gt;0,MAX(K235-L235,0)&gt;0,N235&lt;&gt;"Paga"),ROUND(MAX(K235-L235,0)*'Parâmetros'!$B$34,2),0))</x:f>
      </x:c>
      <x:c r="Q235" s="131" t="str">
        <x:f>IF(A235="","",IF(AND(O235&gt;0,MAX(K235-L235,0)&gt;0,N235&lt;&gt;"Paga"),ROUND(MAX(K235-L235,0)*'Parâmetros'!$B$35*(O235/'Parâmetros'!$B$33),2),0))</x:f>
      </x:c>
      <x:c r="R235" s="131" t="str">
        <x:f>IF(A235="","",IF(O235&gt;0,ROUND(MAX(K235-L235,0)+P235+Q235,2),0))</x:f>
      </x:c>
      <x:c r="S235" s="131" t="str">
        <x:f>IF(A235="","",IF(OR(N235="Paga",O235&gt;0),0,ROUND(IF(K235=0,0,G235*MAX(K235-L235,0)/K235)/(1+'Parâmetros'!$C$13)^((C235-$A$5)/30),2)))</x:f>
      </x:c>
      <x:c r="T235" s="131" t="str">
        <x:f>IF(A235="","",0)</x:f>
      </x:c>
      <x:c r="U235" s="131" t="str">
        <x:f>IF(A235="","",0)</x:f>
      </x:c>
      <x:c r="V235" s="131" t="str">
        <x:f>IF(A235="","",IF(N235="Paga",0,IF(O235&gt;0,R235,S235)))</x:f>
      </x:c>
      <x:c r="W235" s="131" t="str">
        <x:f>IF(A235="","",ROUND(MAX(D235-F235,0),2))</x:f>
      </x:c>
      <x:c r="X235" s="131" t="str">
        <x:f>IF(A235="","",ROUND(SUM($G235:$G$407),2))</x:f>
      </x:c>
      <x:c r="Y235" s="131" t="str">
        <x:f>IF(A235="","",ROUND(MAX(X235-D235,0),2))</x:f>
      </x:c>
      <x:c r="Z235" s="131" t="str">
        <x:f>IF(A235="","",ROUND(SUM($V235:$V$407),2))</x:f>
      </x:c>
      <x:c r="AA235" s="131" t="str">
        <x:f>IF(A235="","",ROUND(SUM($K235:$K$407)-Z235,2))</x:f>
      </x:c>
      <x:c r="AB235" s="77"/>
      <x:c r="AC235" s="36" t="str">
        <x:f>IF(A235="","",IF(O235&gt;0,"Vencido: saldo da fatura + mora",IF(O235&lt;=0,"Vincendo: VP da parcela financeira; comissão/proteção futuras isentas","")))</x:f>
      </x:c>
    </x:row>
    <x:row r="236">
      <x:c r="A236" s="129" t="str">
        <x:f>IF(ROW()-7&lt;=Contrato!$C$16,ROW()-7,"")</x:f>
      </x:c>
      <x:c r="B236" s="129" t="str">
        <x:f>IF(A236="","",Contrato!$C$16)</x:f>
      </x:c>
      <x:c r="C236" s="130" t="str">
        <x:f>IF(A236="","",IF(AB236&lt;&gt;"",AB236,IF(Contrato!$C$14="Mensal",EDATE(Contrato!$C$13,A236-1),Contrato!$C$13+(A236-1)*IF(Contrato!$C$14="Quinzenal",14,IF(Contrato!$C$14="Semanal",7,1)))))</x:f>
      </x:c>
      <x:c r="D236" s="131" t="str">
        <x:f>IF(A236="","",W235)</x:f>
      </x:c>
      <x:c r="E236" s="131" t="str">
        <x:f>IF(A236="","",ROUND(D236*Simulador!$I$18,2))</x:f>
      </x:c>
      <x:c r="F236" s="131" t="str">
        <x:f>IF(A236="","",ROUND(MIN(D236,MAX(G236-E236,0)),2))</x:f>
      </x:c>
      <x:c r="G236" s="131" t="str">
        <x:f>IF(A236="","",IF(A236&lt;Contrato!$C$16,Contrato!$C$27,Contrato!$C$28))</x:f>
      </x:c>
      <x:c r="H236" s="131" t="str">
        <x:f>IF(A236="","",Contrato!$C$29)</x:f>
      </x:c>
      <x:c r="I236" s="131" t="str">
        <x:f>IF(A236="","",Contrato!$C$30)</x:f>
      </x:c>
      <x:c r="J236" s="131" t="str">
        <x:f>IF(A236="","",Contrato!$C$31)</x:f>
      </x:c>
      <x:c r="K236" s="131" t="str">
        <x:f>IF(A236="","",ROUND(SUM(G236:J236),2))</x:f>
      </x:c>
      <x:c r="L236" s="80"/>
      <x:c r="M236" s="77"/>
      <x:c r="N236" s="29" t="str">
        <x:f>IF(A236="","",IF(L236&gt;=K236,"Paga",IF(L236&gt;0,"Paga parcialmente",IF(C236&lt;$A$5,"Vencida","Prevista"))))</x:f>
      </x:c>
      <x:c r="O236" s="29" t="str">
        <x:f>IF(A236="","",$A$5-C236)</x:f>
      </x:c>
      <x:c r="P236" s="131" t="str">
        <x:f>IF(A236="","",IF(AND(O236&gt;0,MAX(K236-L236,0)&gt;0,N236&lt;&gt;"Paga"),ROUND(MAX(K236-L236,0)*'Parâmetros'!$B$34,2),0))</x:f>
      </x:c>
      <x:c r="Q236" s="131" t="str">
        <x:f>IF(A236="","",IF(AND(O236&gt;0,MAX(K236-L236,0)&gt;0,N236&lt;&gt;"Paga"),ROUND(MAX(K236-L236,0)*'Parâmetros'!$B$35*(O236/'Parâmetros'!$B$33),2),0))</x:f>
      </x:c>
      <x:c r="R236" s="131" t="str">
        <x:f>IF(A236="","",IF(O236&gt;0,ROUND(MAX(K236-L236,0)+P236+Q236,2),0))</x:f>
      </x:c>
      <x:c r="S236" s="131" t="str">
        <x:f>IF(A236="","",IF(OR(N236="Paga",O236&gt;0),0,ROUND(IF(K236=0,0,G236*MAX(K236-L236,0)/K236)/(1+'Parâmetros'!$C$13)^((C236-$A$5)/30),2)))</x:f>
      </x:c>
      <x:c r="T236" s="131" t="str">
        <x:f>IF(A236="","",0)</x:f>
      </x:c>
      <x:c r="U236" s="131" t="str">
        <x:f>IF(A236="","",0)</x:f>
      </x:c>
      <x:c r="V236" s="131" t="str">
        <x:f>IF(A236="","",IF(N236="Paga",0,IF(O236&gt;0,R236,S236)))</x:f>
      </x:c>
      <x:c r="W236" s="131" t="str">
        <x:f>IF(A236="","",ROUND(MAX(D236-F236,0),2))</x:f>
      </x:c>
      <x:c r="X236" s="131" t="str">
        <x:f>IF(A236="","",ROUND(SUM($G236:$G$407),2))</x:f>
      </x:c>
      <x:c r="Y236" s="131" t="str">
        <x:f>IF(A236="","",ROUND(MAX(X236-D236,0),2))</x:f>
      </x:c>
      <x:c r="Z236" s="131" t="str">
        <x:f>IF(A236="","",ROUND(SUM($V236:$V$407),2))</x:f>
      </x:c>
      <x:c r="AA236" s="131" t="str">
        <x:f>IF(A236="","",ROUND(SUM($K236:$K$407)-Z236,2))</x:f>
      </x:c>
      <x:c r="AB236" s="77"/>
      <x:c r="AC236" s="36" t="str">
        <x:f>IF(A236="","",IF(O236&gt;0,"Vencido: saldo da fatura + mora",IF(O236&lt;=0,"Vincendo: VP da parcela financeira; comissão/proteção futuras isentas","")))</x:f>
      </x:c>
    </x:row>
    <x:row r="237">
      <x:c r="A237" s="129" t="str">
        <x:f>IF(ROW()-7&lt;=Contrato!$C$16,ROW()-7,"")</x:f>
      </x:c>
      <x:c r="B237" s="129" t="str">
        <x:f>IF(A237="","",Contrato!$C$16)</x:f>
      </x:c>
      <x:c r="C237" s="130" t="str">
        <x:f>IF(A237="","",IF(AB237&lt;&gt;"",AB237,IF(Contrato!$C$14="Mensal",EDATE(Contrato!$C$13,A237-1),Contrato!$C$13+(A237-1)*IF(Contrato!$C$14="Quinzenal",14,IF(Contrato!$C$14="Semanal",7,1)))))</x:f>
      </x:c>
      <x:c r="D237" s="131" t="str">
        <x:f>IF(A237="","",W236)</x:f>
      </x:c>
      <x:c r="E237" s="131" t="str">
        <x:f>IF(A237="","",ROUND(D237*Simulador!$I$18,2))</x:f>
      </x:c>
      <x:c r="F237" s="131" t="str">
        <x:f>IF(A237="","",ROUND(MIN(D237,MAX(G237-E237,0)),2))</x:f>
      </x:c>
      <x:c r="G237" s="131" t="str">
        <x:f>IF(A237="","",IF(A237&lt;Contrato!$C$16,Contrato!$C$27,Contrato!$C$28))</x:f>
      </x:c>
      <x:c r="H237" s="131" t="str">
        <x:f>IF(A237="","",Contrato!$C$29)</x:f>
      </x:c>
      <x:c r="I237" s="131" t="str">
        <x:f>IF(A237="","",Contrato!$C$30)</x:f>
      </x:c>
      <x:c r="J237" s="131" t="str">
        <x:f>IF(A237="","",Contrato!$C$31)</x:f>
      </x:c>
      <x:c r="K237" s="131" t="str">
        <x:f>IF(A237="","",ROUND(SUM(G237:J237),2))</x:f>
      </x:c>
      <x:c r="L237" s="80"/>
      <x:c r="M237" s="77"/>
      <x:c r="N237" s="29" t="str">
        <x:f>IF(A237="","",IF(L237&gt;=K237,"Paga",IF(L237&gt;0,"Paga parcialmente",IF(C237&lt;$A$5,"Vencida","Prevista"))))</x:f>
      </x:c>
      <x:c r="O237" s="29" t="str">
        <x:f>IF(A237="","",$A$5-C237)</x:f>
      </x:c>
      <x:c r="P237" s="131" t="str">
        <x:f>IF(A237="","",IF(AND(O237&gt;0,MAX(K237-L237,0)&gt;0,N237&lt;&gt;"Paga"),ROUND(MAX(K237-L237,0)*'Parâmetros'!$B$34,2),0))</x:f>
      </x:c>
      <x:c r="Q237" s="131" t="str">
        <x:f>IF(A237="","",IF(AND(O237&gt;0,MAX(K237-L237,0)&gt;0,N237&lt;&gt;"Paga"),ROUND(MAX(K237-L237,0)*'Parâmetros'!$B$35*(O237/'Parâmetros'!$B$33),2),0))</x:f>
      </x:c>
      <x:c r="R237" s="131" t="str">
        <x:f>IF(A237="","",IF(O237&gt;0,ROUND(MAX(K237-L237,0)+P237+Q237,2),0))</x:f>
      </x:c>
      <x:c r="S237" s="131" t="str">
        <x:f>IF(A237="","",IF(OR(N237="Paga",O237&gt;0),0,ROUND(IF(K237=0,0,G237*MAX(K237-L237,0)/K237)/(1+'Parâmetros'!$C$13)^((C237-$A$5)/30),2)))</x:f>
      </x:c>
      <x:c r="T237" s="131" t="str">
        <x:f>IF(A237="","",0)</x:f>
      </x:c>
      <x:c r="U237" s="131" t="str">
        <x:f>IF(A237="","",0)</x:f>
      </x:c>
      <x:c r="V237" s="131" t="str">
        <x:f>IF(A237="","",IF(N237="Paga",0,IF(O237&gt;0,R237,S237)))</x:f>
      </x:c>
      <x:c r="W237" s="131" t="str">
        <x:f>IF(A237="","",ROUND(MAX(D237-F237,0),2))</x:f>
      </x:c>
      <x:c r="X237" s="131" t="str">
        <x:f>IF(A237="","",ROUND(SUM($G237:$G$407),2))</x:f>
      </x:c>
      <x:c r="Y237" s="131" t="str">
        <x:f>IF(A237="","",ROUND(MAX(X237-D237,0),2))</x:f>
      </x:c>
      <x:c r="Z237" s="131" t="str">
        <x:f>IF(A237="","",ROUND(SUM($V237:$V$407),2))</x:f>
      </x:c>
      <x:c r="AA237" s="131" t="str">
        <x:f>IF(A237="","",ROUND(SUM($K237:$K$407)-Z237,2))</x:f>
      </x:c>
      <x:c r="AB237" s="77"/>
      <x:c r="AC237" s="36" t="str">
        <x:f>IF(A237="","",IF(O237&gt;0,"Vencido: saldo da fatura + mora",IF(O237&lt;=0,"Vincendo: VP da parcela financeira; comissão/proteção futuras isentas","")))</x:f>
      </x:c>
    </x:row>
    <x:row r="238">
      <x:c r="A238" s="129" t="str">
        <x:f>IF(ROW()-7&lt;=Contrato!$C$16,ROW()-7,"")</x:f>
      </x:c>
      <x:c r="B238" s="129" t="str">
        <x:f>IF(A238="","",Contrato!$C$16)</x:f>
      </x:c>
      <x:c r="C238" s="130" t="str">
        <x:f>IF(A238="","",IF(AB238&lt;&gt;"",AB238,IF(Contrato!$C$14="Mensal",EDATE(Contrato!$C$13,A238-1),Contrato!$C$13+(A238-1)*IF(Contrato!$C$14="Quinzenal",14,IF(Contrato!$C$14="Semanal",7,1)))))</x:f>
      </x:c>
      <x:c r="D238" s="131" t="str">
        <x:f>IF(A238="","",W237)</x:f>
      </x:c>
      <x:c r="E238" s="131" t="str">
        <x:f>IF(A238="","",ROUND(D238*Simulador!$I$18,2))</x:f>
      </x:c>
      <x:c r="F238" s="131" t="str">
        <x:f>IF(A238="","",ROUND(MIN(D238,MAX(G238-E238,0)),2))</x:f>
      </x:c>
      <x:c r="G238" s="131" t="str">
        <x:f>IF(A238="","",IF(A238&lt;Contrato!$C$16,Contrato!$C$27,Contrato!$C$28))</x:f>
      </x:c>
      <x:c r="H238" s="131" t="str">
        <x:f>IF(A238="","",Contrato!$C$29)</x:f>
      </x:c>
      <x:c r="I238" s="131" t="str">
        <x:f>IF(A238="","",Contrato!$C$30)</x:f>
      </x:c>
      <x:c r="J238" s="131" t="str">
        <x:f>IF(A238="","",Contrato!$C$31)</x:f>
      </x:c>
      <x:c r="K238" s="131" t="str">
        <x:f>IF(A238="","",ROUND(SUM(G238:J238),2))</x:f>
      </x:c>
      <x:c r="L238" s="80"/>
      <x:c r="M238" s="77"/>
      <x:c r="N238" s="29" t="str">
        <x:f>IF(A238="","",IF(L238&gt;=K238,"Paga",IF(L238&gt;0,"Paga parcialmente",IF(C238&lt;$A$5,"Vencida","Prevista"))))</x:f>
      </x:c>
      <x:c r="O238" s="29" t="str">
        <x:f>IF(A238="","",$A$5-C238)</x:f>
      </x:c>
      <x:c r="P238" s="131" t="str">
        <x:f>IF(A238="","",IF(AND(O238&gt;0,MAX(K238-L238,0)&gt;0,N238&lt;&gt;"Paga"),ROUND(MAX(K238-L238,0)*'Parâmetros'!$B$34,2),0))</x:f>
      </x:c>
      <x:c r="Q238" s="131" t="str">
        <x:f>IF(A238="","",IF(AND(O238&gt;0,MAX(K238-L238,0)&gt;0,N238&lt;&gt;"Paga"),ROUND(MAX(K238-L238,0)*'Parâmetros'!$B$35*(O238/'Parâmetros'!$B$33),2),0))</x:f>
      </x:c>
      <x:c r="R238" s="131" t="str">
        <x:f>IF(A238="","",IF(O238&gt;0,ROUND(MAX(K238-L238,0)+P238+Q238,2),0))</x:f>
      </x:c>
      <x:c r="S238" s="131" t="str">
        <x:f>IF(A238="","",IF(OR(N238="Paga",O238&gt;0),0,ROUND(IF(K238=0,0,G238*MAX(K238-L238,0)/K238)/(1+'Parâmetros'!$C$13)^((C238-$A$5)/30),2)))</x:f>
      </x:c>
      <x:c r="T238" s="131" t="str">
        <x:f>IF(A238="","",0)</x:f>
      </x:c>
      <x:c r="U238" s="131" t="str">
        <x:f>IF(A238="","",0)</x:f>
      </x:c>
      <x:c r="V238" s="131" t="str">
        <x:f>IF(A238="","",IF(N238="Paga",0,IF(O238&gt;0,R238,S238)))</x:f>
      </x:c>
      <x:c r="W238" s="131" t="str">
        <x:f>IF(A238="","",ROUND(MAX(D238-F238,0),2))</x:f>
      </x:c>
      <x:c r="X238" s="131" t="str">
        <x:f>IF(A238="","",ROUND(SUM($G238:$G$407),2))</x:f>
      </x:c>
      <x:c r="Y238" s="131" t="str">
        <x:f>IF(A238="","",ROUND(MAX(X238-D238,0),2))</x:f>
      </x:c>
      <x:c r="Z238" s="131" t="str">
        <x:f>IF(A238="","",ROUND(SUM($V238:$V$407),2))</x:f>
      </x:c>
      <x:c r="AA238" s="131" t="str">
        <x:f>IF(A238="","",ROUND(SUM($K238:$K$407)-Z238,2))</x:f>
      </x:c>
      <x:c r="AB238" s="77"/>
      <x:c r="AC238" s="36" t="str">
        <x:f>IF(A238="","",IF(O238&gt;0,"Vencido: saldo da fatura + mora",IF(O238&lt;=0,"Vincendo: VP da parcela financeira; comissão/proteção futuras isentas","")))</x:f>
      </x:c>
    </x:row>
    <x:row r="239">
      <x:c r="A239" s="129" t="str">
        <x:f>IF(ROW()-7&lt;=Contrato!$C$16,ROW()-7,"")</x:f>
      </x:c>
      <x:c r="B239" s="129" t="str">
        <x:f>IF(A239="","",Contrato!$C$16)</x:f>
      </x:c>
      <x:c r="C239" s="130" t="str">
        <x:f>IF(A239="","",IF(AB239&lt;&gt;"",AB239,IF(Contrato!$C$14="Mensal",EDATE(Contrato!$C$13,A239-1),Contrato!$C$13+(A239-1)*IF(Contrato!$C$14="Quinzenal",14,IF(Contrato!$C$14="Semanal",7,1)))))</x:f>
      </x:c>
      <x:c r="D239" s="131" t="str">
        <x:f>IF(A239="","",W238)</x:f>
      </x:c>
      <x:c r="E239" s="131" t="str">
        <x:f>IF(A239="","",ROUND(D239*Simulador!$I$18,2))</x:f>
      </x:c>
      <x:c r="F239" s="131" t="str">
        <x:f>IF(A239="","",ROUND(MIN(D239,MAX(G239-E239,0)),2))</x:f>
      </x:c>
      <x:c r="G239" s="131" t="str">
        <x:f>IF(A239="","",IF(A239&lt;Contrato!$C$16,Contrato!$C$27,Contrato!$C$28))</x:f>
      </x:c>
      <x:c r="H239" s="131" t="str">
        <x:f>IF(A239="","",Contrato!$C$29)</x:f>
      </x:c>
      <x:c r="I239" s="131" t="str">
        <x:f>IF(A239="","",Contrato!$C$30)</x:f>
      </x:c>
      <x:c r="J239" s="131" t="str">
        <x:f>IF(A239="","",Contrato!$C$31)</x:f>
      </x:c>
      <x:c r="K239" s="131" t="str">
        <x:f>IF(A239="","",ROUND(SUM(G239:J239),2))</x:f>
      </x:c>
      <x:c r="L239" s="80"/>
      <x:c r="M239" s="77"/>
      <x:c r="N239" s="29" t="str">
        <x:f>IF(A239="","",IF(L239&gt;=K239,"Paga",IF(L239&gt;0,"Paga parcialmente",IF(C239&lt;$A$5,"Vencida","Prevista"))))</x:f>
      </x:c>
      <x:c r="O239" s="29" t="str">
        <x:f>IF(A239="","",$A$5-C239)</x:f>
      </x:c>
      <x:c r="P239" s="131" t="str">
        <x:f>IF(A239="","",IF(AND(O239&gt;0,MAX(K239-L239,0)&gt;0,N239&lt;&gt;"Paga"),ROUND(MAX(K239-L239,0)*'Parâmetros'!$B$34,2),0))</x:f>
      </x:c>
      <x:c r="Q239" s="131" t="str">
        <x:f>IF(A239="","",IF(AND(O239&gt;0,MAX(K239-L239,0)&gt;0,N239&lt;&gt;"Paga"),ROUND(MAX(K239-L239,0)*'Parâmetros'!$B$35*(O239/'Parâmetros'!$B$33),2),0))</x:f>
      </x:c>
      <x:c r="R239" s="131" t="str">
        <x:f>IF(A239="","",IF(O239&gt;0,ROUND(MAX(K239-L239,0)+P239+Q239,2),0))</x:f>
      </x:c>
      <x:c r="S239" s="131" t="str">
        <x:f>IF(A239="","",IF(OR(N239="Paga",O239&gt;0),0,ROUND(IF(K239=0,0,G239*MAX(K239-L239,0)/K239)/(1+'Parâmetros'!$C$13)^((C239-$A$5)/30),2)))</x:f>
      </x:c>
      <x:c r="T239" s="131" t="str">
        <x:f>IF(A239="","",0)</x:f>
      </x:c>
      <x:c r="U239" s="131" t="str">
        <x:f>IF(A239="","",0)</x:f>
      </x:c>
      <x:c r="V239" s="131" t="str">
        <x:f>IF(A239="","",IF(N239="Paga",0,IF(O239&gt;0,R239,S239)))</x:f>
      </x:c>
      <x:c r="W239" s="131" t="str">
        <x:f>IF(A239="","",ROUND(MAX(D239-F239,0),2))</x:f>
      </x:c>
      <x:c r="X239" s="131" t="str">
        <x:f>IF(A239="","",ROUND(SUM($G239:$G$407),2))</x:f>
      </x:c>
      <x:c r="Y239" s="131" t="str">
        <x:f>IF(A239="","",ROUND(MAX(X239-D239,0),2))</x:f>
      </x:c>
      <x:c r="Z239" s="131" t="str">
        <x:f>IF(A239="","",ROUND(SUM($V239:$V$407),2))</x:f>
      </x:c>
      <x:c r="AA239" s="131" t="str">
        <x:f>IF(A239="","",ROUND(SUM($K239:$K$407)-Z239,2))</x:f>
      </x:c>
      <x:c r="AB239" s="77"/>
      <x:c r="AC239" s="36" t="str">
        <x:f>IF(A239="","",IF(O239&gt;0,"Vencido: saldo da fatura + mora",IF(O239&lt;=0,"Vincendo: VP da parcela financeira; comissão/proteção futuras isentas","")))</x:f>
      </x:c>
    </x:row>
    <x:row r="240">
      <x:c r="A240" s="129" t="str">
        <x:f>IF(ROW()-7&lt;=Contrato!$C$16,ROW()-7,"")</x:f>
      </x:c>
      <x:c r="B240" s="129" t="str">
        <x:f>IF(A240="","",Contrato!$C$16)</x:f>
      </x:c>
      <x:c r="C240" s="130" t="str">
        <x:f>IF(A240="","",IF(AB240&lt;&gt;"",AB240,IF(Contrato!$C$14="Mensal",EDATE(Contrato!$C$13,A240-1),Contrato!$C$13+(A240-1)*IF(Contrato!$C$14="Quinzenal",14,IF(Contrato!$C$14="Semanal",7,1)))))</x:f>
      </x:c>
      <x:c r="D240" s="131" t="str">
        <x:f>IF(A240="","",W239)</x:f>
      </x:c>
      <x:c r="E240" s="131" t="str">
        <x:f>IF(A240="","",ROUND(D240*Simulador!$I$18,2))</x:f>
      </x:c>
      <x:c r="F240" s="131" t="str">
        <x:f>IF(A240="","",ROUND(MIN(D240,MAX(G240-E240,0)),2))</x:f>
      </x:c>
      <x:c r="G240" s="131" t="str">
        <x:f>IF(A240="","",IF(A240&lt;Contrato!$C$16,Contrato!$C$27,Contrato!$C$28))</x:f>
      </x:c>
      <x:c r="H240" s="131" t="str">
        <x:f>IF(A240="","",Contrato!$C$29)</x:f>
      </x:c>
      <x:c r="I240" s="131" t="str">
        <x:f>IF(A240="","",Contrato!$C$30)</x:f>
      </x:c>
      <x:c r="J240" s="131" t="str">
        <x:f>IF(A240="","",Contrato!$C$31)</x:f>
      </x:c>
      <x:c r="K240" s="131" t="str">
        <x:f>IF(A240="","",ROUND(SUM(G240:J240),2))</x:f>
      </x:c>
      <x:c r="L240" s="80"/>
      <x:c r="M240" s="77"/>
      <x:c r="N240" s="29" t="str">
        <x:f>IF(A240="","",IF(L240&gt;=K240,"Paga",IF(L240&gt;0,"Paga parcialmente",IF(C240&lt;$A$5,"Vencida","Prevista"))))</x:f>
      </x:c>
      <x:c r="O240" s="29" t="str">
        <x:f>IF(A240="","",$A$5-C240)</x:f>
      </x:c>
      <x:c r="P240" s="131" t="str">
        <x:f>IF(A240="","",IF(AND(O240&gt;0,MAX(K240-L240,0)&gt;0,N240&lt;&gt;"Paga"),ROUND(MAX(K240-L240,0)*'Parâmetros'!$B$34,2),0))</x:f>
      </x:c>
      <x:c r="Q240" s="131" t="str">
        <x:f>IF(A240="","",IF(AND(O240&gt;0,MAX(K240-L240,0)&gt;0,N240&lt;&gt;"Paga"),ROUND(MAX(K240-L240,0)*'Parâmetros'!$B$35*(O240/'Parâmetros'!$B$33),2),0))</x:f>
      </x:c>
      <x:c r="R240" s="131" t="str">
        <x:f>IF(A240="","",IF(O240&gt;0,ROUND(MAX(K240-L240,0)+P240+Q240,2),0))</x:f>
      </x:c>
      <x:c r="S240" s="131" t="str">
        <x:f>IF(A240="","",IF(OR(N240="Paga",O240&gt;0),0,ROUND(IF(K240=0,0,G240*MAX(K240-L240,0)/K240)/(1+'Parâmetros'!$C$13)^((C240-$A$5)/30),2)))</x:f>
      </x:c>
      <x:c r="T240" s="131" t="str">
        <x:f>IF(A240="","",0)</x:f>
      </x:c>
      <x:c r="U240" s="131" t="str">
        <x:f>IF(A240="","",0)</x:f>
      </x:c>
      <x:c r="V240" s="131" t="str">
        <x:f>IF(A240="","",IF(N240="Paga",0,IF(O240&gt;0,R240,S240)))</x:f>
      </x:c>
      <x:c r="W240" s="131" t="str">
        <x:f>IF(A240="","",ROUND(MAX(D240-F240,0),2))</x:f>
      </x:c>
      <x:c r="X240" s="131" t="str">
        <x:f>IF(A240="","",ROUND(SUM($G240:$G$407),2))</x:f>
      </x:c>
      <x:c r="Y240" s="131" t="str">
        <x:f>IF(A240="","",ROUND(MAX(X240-D240,0),2))</x:f>
      </x:c>
      <x:c r="Z240" s="131" t="str">
        <x:f>IF(A240="","",ROUND(SUM($V240:$V$407),2))</x:f>
      </x:c>
      <x:c r="AA240" s="131" t="str">
        <x:f>IF(A240="","",ROUND(SUM($K240:$K$407)-Z240,2))</x:f>
      </x:c>
      <x:c r="AB240" s="77"/>
      <x:c r="AC240" s="36" t="str">
        <x:f>IF(A240="","",IF(O240&gt;0,"Vencido: saldo da fatura + mora",IF(O240&lt;=0,"Vincendo: VP da parcela financeira; comissão/proteção futuras isentas","")))</x:f>
      </x:c>
    </x:row>
    <x:row r="241">
      <x:c r="A241" s="129" t="str">
        <x:f>IF(ROW()-7&lt;=Contrato!$C$16,ROW()-7,"")</x:f>
      </x:c>
      <x:c r="B241" s="129" t="str">
        <x:f>IF(A241="","",Contrato!$C$16)</x:f>
      </x:c>
      <x:c r="C241" s="130" t="str">
        <x:f>IF(A241="","",IF(AB241&lt;&gt;"",AB241,IF(Contrato!$C$14="Mensal",EDATE(Contrato!$C$13,A241-1),Contrato!$C$13+(A241-1)*IF(Contrato!$C$14="Quinzenal",14,IF(Contrato!$C$14="Semanal",7,1)))))</x:f>
      </x:c>
      <x:c r="D241" s="131" t="str">
        <x:f>IF(A241="","",W240)</x:f>
      </x:c>
      <x:c r="E241" s="131" t="str">
        <x:f>IF(A241="","",ROUND(D241*Simulador!$I$18,2))</x:f>
      </x:c>
      <x:c r="F241" s="131" t="str">
        <x:f>IF(A241="","",ROUND(MIN(D241,MAX(G241-E241,0)),2))</x:f>
      </x:c>
      <x:c r="G241" s="131" t="str">
        <x:f>IF(A241="","",IF(A241&lt;Contrato!$C$16,Contrato!$C$27,Contrato!$C$28))</x:f>
      </x:c>
      <x:c r="H241" s="131" t="str">
        <x:f>IF(A241="","",Contrato!$C$29)</x:f>
      </x:c>
      <x:c r="I241" s="131" t="str">
        <x:f>IF(A241="","",Contrato!$C$30)</x:f>
      </x:c>
      <x:c r="J241" s="131" t="str">
        <x:f>IF(A241="","",Contrato!$C$31)</x:f>
      </x:c>
      <x:c r="K241" s="131" t="str">
        <x:f>IF(A241="","",ROUND(SUM(G241:J241),2))</x:f>
      </x:c>
      <x:c r="L241" s="80"/>
      <x:c r="M241" s="77"/>
      <x:c r="N241" s="29" t="str">
        <x:f>IF(A241="","",IF(L241&gt;=K241,"Paga",IF(L241&gt;0,"Paga parcialmente",IF(C241&lt;$A$5,"Vencida","Prevista"))))</x:f>
      </x:c>
      <x:c r="O241" s="29" t="str">
        <x:f>IF(A241="","",$A$5-C241)</x:f>
      </x:c>
      <x:c r="P241" s="131" t="str">
        <x:f>IF(A241="","",IF(AND(O241&gt;0,MAX(K241-L241,0)&gt;0,N241&lt;&gt;"Paga"),ROUND(MAX(K241-L241,0)*'Parâmetros'!$B$34,2),0))</x:f>
      </x:c>
      <x:c r="Q241" s="131" t="str">
        <x:f>IF(A241="","",IF(AND(O241&gt;0,MAX(K241-L241,0)&gt;0,N241&lt;&gt;"Paga"),ROUND(MAX(K241-L241,0)*'Parâmetros'!$B$35*(O241/'Parâmetros'!$B$33),2),0))</x:f>
      </x:c>
      <x:c r="R241" s="131" t="str">
        <x:f>IF(A241="","",IF(O241&gt;0,ROUND(MAX(K241-L241,0)+P241+Q241,2),0))</x:f>
      </x:c>
      <x:c r="S241" s="131" t="str">
        <x:f>IF(A241="","",IF(OR(N241="Paga",O241&gt;0),0,ROUND(IF(K241=0,0,G241*MAX(K241-L241,0)/K241)/(1+'Parâmetros'!$C$13)^((C241-$A$5)/30),2)))</x:f>
      </x:c>
      <x:c r="T241" s="131" t="str">
        <x:f>IF(A241="","",0)</x:f>
      </x:c>
      <x:c r="U241" s="131" t="str">
        <x:f>IF(A241="","",0)</x:f>
      </x:c>
      <x:c r="V241" s="131" t="str">
        <x:f>IF(A241="","",IF(N241="Paga",0,IF(O241&gt;0,R241,S241)))</x:f>
      </x:c>
      <x:c r="W241" s="131" t="str">
        <x:f>IF(A241="","",ROUND(MAX(D241-F241,0),2))</x:f>
      </x:c>
      <x:c r="X241" s="131" t="str">
        <x:f>IF(A241="","",ROUND(SUM($G241:$G$407),2))</x:f>
      </x:c>
      <x:c r="Y241" s="131" t="str">
        <x:f>IF(A241="","",ROUND(MAX(X241-D241,0),2))</x:f>
      </x:c>
      <x:c r="Z241" s="131" t="str">
        <x:f>IF(A241="","",ROUND(SUM($V241:$V$407),2))</x:f>
      </x:c>
      <x:c r="AA241" s="131" t="str">
        <x:f>IF(A241="","",ROUND(SUM($K241:$K$407)-Z241,2))</x:f>
      </x:c>
      <x:c r="AB241" s="77"/>
      <x:c r="AC241" s="36" t="str">
        <x:f>IF(A241="","",IF(O241&gt;0,"Vencido: saldo da fatura + mora",IF(O241&lt;=0,"Vincendo: VP da parcela financeira; comissão/proteção futuras isentas","")))</x:f>
      </x:c>
    </x:row>
    <x:row r="242">
      <x:c r="A242" s="129" t="str">
        <x:f>IF(ROW()-7&lt;=Contrato!$C$16,ROW()-7,"")</x:f>
      </x:c>
      <x:c r="B242" s="129" t="str">
        <x:f>IF(A242="","",Contrato!$C$16)</x:f>
      </x:c>
      <x:c r="C242" s="130" t="str">
        <x:f>IF(A242="","",IF(AB242&lt;&gt;"",AB242,IF(Contrato!$C$14="Mensal",EDATE(Contrato!$C$13,A242-1),Contrato!$C$13+(A242-1)*IF(Contrato!$C$14="Quinzenal",14,IF(Contrato!$C$14="Semanal",7,1)))))</x:f>
      </x:c>
      <x:c r="D242" s="131" t="str">
        <x:f>IF(A242="","",W241)</x:f>
      </x:c>
      <x:c r="E242" s="131" t="str">
        <x:f>IF(A242="","",ROUND(D242*Simulador!$I$18,2))</x:f>
      </x:c>
      <x:c r="F242" s="131" t="str">
        <x:f>IF(A242="","",ROUND(MIN(D242,MAX(G242-E242,0)),2))</x:f>
      </x:c>
      <x:c r="G242" s="131" t="str">
        <x:f>IF(A242="","",IF(A242&lt;Contrato!$C$16,Contrato!$C$27,Contrato!$C$28))</x:f>
      </x:c>
      <x:c r="H242" s="131" t="str">
        <x:f>IF(A242="","",Contrato!$C$29)</x:f>
      </x:c>
      <x:c r="I242" s="131" t="str">
        <x:f>IF(A242="","",Contrato!$C$30)</x:f>
      </x:c>
      <x:c r="J242" s="131" t="str">
        <x:f>IF(A242="","",Contrato!$C$31)</x:f>
      </x:c>
      <x:c r="K242" s="131" t="str">
        <x:f>IF(A242="","",ROUND(SUM(G242:J242),2))</x:f>
      </x:c>
      <x:c r="L242" s="80"/>
      <x:c r="M242" s="77"/>
      <x:c r="N242" s="29" t="str">
        <x:f>IF(A242="","",IF(L242&gt;=K242,"Paga",IF(L242&gt;0,"Paga parcialmente",IF(C242&lt;$A$5,"Vencida","Prevista"))))</x:f>
      </x:c>
      <x:c r="O242" s="29" t="str">
        <x:f>IF(A242="","",$A$5-C242)</x:f>
      </x:c>
      <x:c r="P242" s="131" t="str">
        <x:f>IF(A242="","",IF(AND(O242&gt;0,MAX(K242-L242,0)&gt;0,N242&lt;&gt;"Paga"),ROUND(MAX(K242-L242,0)*'Parâmetros'!$B$34,2),0))</x:f>
      </x:c>
      <x:c r="Q242" s="131" t="str">
        <x:f>IF(A242="","",IF(AND(O242&gt;0,MAX(K242-L242,0)&gt;0,N242&lt;&gt;"Paga"),ROUND(MAX(K242-L242,0)*'Parâmetros'!$B$35*(O242/'Parâmetros'!$B$33),2),0))</x:f>
      </x:c>
      <x:c r="R242" s="131" t="str">
        <x:f>IF(A242="","",IF(O242&gt;0,ROUND(MAX(K242-L242,0)+P242+Q242,2),0))</x:f>
      </x:c>
      <x:c r="S242" s="131" t="str">
        <x:f>IF(A242="","",IF(OR(N242="Paga",O242&gt;0),0,ROUND(IF(K242=0,0,G242*MAX(K242-L242,0)/K242)/(1+'Parâmetros'!$C$13)^((C242-$A$5)/30),2)))</x:f>
      </x:c>
      <x:c r="T242" s="131" t="str">
        <x:f>IF(A242="","",0)</x:f>
      </x:c>
      <x:c r="U242" s="131" t="str">
        <x:f>IF(A242="","",0)</x:f>
      </x:c>
      <x:c r="V242" s="131" t="str">
        <x:f>IF(A242="","",IF(N242="Paga",0,IF(O242&gt;0,R242,S242)))</x:f>
      </x:c>
      <x:c r="W242" s="131" t="str">
        <x:f>IF(A242="","",ROUND(MAX(D242-F242,0),2))</x:f>
      </x:c>
      <x:c r="X242" s="131" t="str">
        <x:f>IF(A242="","",ROUND(SUM($G242:$G$407),2))</x:f>
      </x:c>
      <x:c r="Y242" s="131" t="str">
        <x:f>IF(A242="","",ROUND(MAX(X242-D242,0),2))</x:f>
      </x:c>
      <x:c r="Z242" s="131" t="str">
        <x:f>IF(A242="","",ROUND(SUM($V242:$V$407),2))</x:f>
      </x:c>
      <x:c r="AA242" s="131" t="str">
        <x:f>IF(A242="","",ROUND(SUM($K242:$K$407)-Z242,2))</x:f>
      </x:c>
      <x:c r="AB242" s="77"/>
      <x:c r="AC242" s="36" t="str">
        <x:f>IF(A242="","",IF(O242&gt;0,"Vencido: saldo da fatura + mora",IF(O242&lt;=0,"Vincendo: VP da parcela financeira; comissão/proteção futuras isentas","")))</x:f>
      </x:c>
    </x:row>
    <x:row r="243">
      <x:c r="A243" s="129" t="str">
        <x:f>IF(ROW()-7&lt;=Contrato!$C$16,ROW()-7,"")</x:f>
      </x:c>
      <x:c r="B243" s="129" t="str">
        <x:f>IF(A243="","",Contrato!$C$16)</x:f>
      </x:c>
      <x:c r="C243" s="130" t="str">
        <x:f>IF(A243="","",IF(AB243&lt;&gt;"",AB243,IF(Contrato!$C$14="Mensal",EDATE(Contrato!$C$13,A243-1),Contrato!$C$13+(A243-1)*IF(Contrato!$C$14="Quinzenal",14,IF(Contrato!$C$14="Semanal",7,1)))))</x:f>
      </x:c>
      <x:c r="D243" s="131" t="str">
        <x:f>IF(A243="","",W242)</x:f>
      </x:c>
      <x:c r="E243" s="131" t="str">
        <x:f>IF(A243="","",ROUND(D243*Simulador!$I$18,2))</x:f>
      </x:c>
      <x:c r="F243" s="131" t="str">
        <x:f>IF(A243="","",ROUND(MIN(D243,MAX(G243-E243,0)),2))</x:f>
      </x:c>
      <x:c r="G243" s="131" t="str">
        <x:f>IF(A243="","",IF(A243&lt;Contrato!$C$16,Contrato!$C$27,Contrato!$C$28))</x:f>
      </x:c>
      <x:c r="H243" s="131" t="str">
        <x:f>IF(A243="","",Contrato!$C$29)</x:f>
      </x:c>
      <x:c r="I243" s="131" t="str">
        <x:f>IF(A243="","",Contrato!$C$30)</x:f>
      </x:c>
      <x:c r="J243" s="131" t="str">
        <x:f>IF(A243="","",Contrato!$C$31)</x:f>
      </x:c>
      <x:c r="K243" s="131" t="str">
        <x:f>IF(A243="","",ROUND(SUM(G243:J243),2))</x:f>
      </x:c>
      <x:c r="L243" s="80"/>
      <x:c r="M243" s="77"/>
      <x:c r="N243" s="29" t="str">
        <x:f>IF(A243="","",IF(L243&gt;=K243,"Paga",IF(L243&gt;0,"Paga parcialmente",IF(C243&lt;$A$5,"Vencida","Prevista"))))</x:f>
      </x:c>
      <x:c r="O243" s="29" t="str">
        <x:f>IF(A243="","",$A$5-C243)</x:f>
      </x:c>
      <x:c r="P243" s="131" t="str">
        <x:f>IF(A243="","",IF(AND(O243&gt;0,MAX(K243-L243,0)&gt;0,N243&lt;&gt;"Paga"),ROUND(MAX(K243-L243,0)*'Parâmetros'!$B$34,2),0))</x:f>
      </x:c>
      <x:c r="Q243" s="131" t="str">
        <x:f>IF(A243="","",IF(AND(O243&gt;0,MAX(K243-L243,0)&gt;0,N243&lt;&gt;"Paga"),ROUND(MAX(K243-L243,0)*'Parâmetros'!$B$35*(O243/'Parâmetros'!$B$33),2),0))</x:f>
      </x:c>
      <x:c r="R243" s="131" t="str">
        <x:f>IF(A243="","",IF(O243&gt;0,ROUND(MAX(K243-L243,0)+P243+Q243,2),0))</x:f>
      </x:c>
      <x:c r="S243" s="131" t="str">
        <x:f>IF(A243="","",IF(OR(N243="Paga",O243&gt;0),0,ROUND(IF(K243=0,0,G243*MAX(K243-L243,0)/K243)/(1+'Parâmetros'!$C$13)^((C243-$A$5)/30),2)))</x:f>
      </x:c>
      <x:c r="T243" s="131" t="str">
        <x:f>IF(A243="","",0)</x:f>
      </x:c>
      <x:c r="U243" s="131" t="str">
        <x:f>IF(A243="","",0)</x:f>
      </x:c>
      <x:c r="V243" s="131" t="str">
        <x:f>IF(A243="","",IF(N243="Paga",0,IF(O243&gt;0,R243,S243)))</x:f>
      </x:c>
      <x:c r="W243" s="131" t="str">
        <x:f>IF(A243="","",ROUND(MAX(D243-F243,0),2))</x:f>
      </x:c>
      <x:c r="X243" s="131" t="str">
        <x:f>IF(A243="","",ROUND(SUM($G243:$G$407),2))</x:f>
      </x:c>
      <x:c r="Y243" s="131" t="str">
        <x:f>IF(A243="","",ROUND(MAX(X243-D243,0),2))</x:f>
      </x:c>
      <x:c r="Z243" s="131" t="str">
        <x:f>IF(A243="","",ROUND(SUM($V243:$V$407),2))</x:f>
      </x:c>
      <x:c r="AA243" s="131" t="str">
        <x:f>IF(A243="","",ROUND(SUM($K243:$K$407)-Z243,2))</x:f>
      </x:c>
      <x:c r="AB243" s="77"/>
      <x:c r="AC243" s="36" t="str">
        <x:f>IF(A243="","",IF(O243&gt;0,"Vencido: saldo da fatura + mora",IF(O243&lt;=0,"Vincendo: VP da parcela financeira; comissão/proteção futuras isentas","")))</x:f>
      </x:c>
    </x:row>
    <x:row r="244">
      <x:c r="A244" s="129" t="str">
        <x:f>IF(ROW()-7&lt;=Contrato!$C$16,ROW()-7,"")</x:f>
      </x:c>
      <x:c r="B244" s="129" t="str">
        <x:f>IF(A244="","",Contrato!$C$16)</x:f>
      </x:c>
      <x:c r="C244" s="130" t="str">
        <x:f>IF(A244="","",IF(AB244&lt;&gt;"",AB244,IF(Contrato!$C$14="Mensal",EDATE(Contrato!$C$13,A244-1),Contrato!$C$13+(A244-1)*IF(Contrato!$C$14="Quinzenal",14,IF(Contrato!$C$14="Semanal",7,1)))))</x:f>
      </x:c>
      <x:c r="D244" s="131" t="str">
        <x:f>IF(A244="","",W243)</x:f>
      </x:c>
      <x:c r="E244" s="131" t="str">
        <x:f>IF(A244="","",ROUND(D244*Simulador!$I$18,2))</x:f>
      </x:c>
      <x:c r="F244" s="131" t="str">
        <x:f>IF(A244="","",ROUND(MIN(D244,MAX(G244-E244,0)),2))</x:f>
      </x:c>
      <x:c r="G244" s="131" t="str">
        <x:f>IF(A244="","",IF(A244&lt;Contrato!$C$16,Contrato!$C$27,Contrato!$C$28))</x:f>
      </x:c>
      <x:c r="H244" s="131" t="str">
        <x:f>IF(A244="","",Contrato!$C$29)</x:f>
      </x:c>
      <x:c r="I244" s="131" t="str">
        <x:f>IF(A244="","",Contrato!$C$30)</x:f>
      </x:c>
      <x:c r="J244" s="131" t="str">
        <x:f>IF(A244="","",Contrato!$C$31)</x:f>
      </x:c>
      <x:c r="K244" s="131" t="str">
        <x:f>IF(A244="","",ROUND(SUM(G244:J244),2))</x:f>
      </x:c>
      <x:c r="L244" s="80"/>
      <x:c r="M244" s="77"/>
      <x:c r="N244" s="29" t="str">
        <x:f>IF(A244="","",IF(L244&gt;=K244,"Paga",IF(L244&gt;0,"Paga parcialmente",IF(C244&lt;$A$5,"Vencida","Prevista"))))</x:f>
      </x:c>
      <x:c r="O244" s="29" t="str">
        <x:f>IF(A244="","",$A$5-C244)</x:f>
      </x:c>
      <x:c r="P244" s="131" t="str">
        <x:f>IF(A244="","",IF(AND(O244&gt;0,MAX(K244-L244,0)&gt;0,N244&lt;&gt;"Paga"),ROUND(MAX(K244-L244,0)*'Parâmetros'!$B$34,2),0))</x:f>
      </x:c>
      <x:c r="Q244" s="131" t="str">
        <x:f>IF(A244="","",IF(AND(O244&gt;0,MAX(K244-L244,0)&gt;0,N244&lt;&gt;"Paga"),ROUND(MAX(K244-L244,0)*'Parâmetros'!$B$35*(O244/'Parâmetros'!$B$33),2),0))</x:f>
      </x:c>
      <x:c r="R244" s="131" t="str">
        <x:f>IF(A244="","",IF(O244&gt;0,ROUND(MAX(K244-L244,0)+P244+Q244,2),0))</x:f>
      </x:c>
      <x:c r="S244" s="131" t="str">
        <x:f>IF(A244="","",IF(OR(N244="Paga",O244&gt;0),0,ROUND(IF(K244=0,0,G244*MAX(K244-L244,0)/K244)/(1+'Parâmetros'!$C$13)^((C244-$A$5)/30),2)))</x:f>
      </x:c>
      <x:c r="T244" s="131" t="str">
        <x:f>IF(A244="","",0)</x:f>
      </x:c>
      <x:c r="U244" s="131" t="str">
        <x:f>IF(A244="","",0)</x:f>
      </x:c>
      <x:c r="V244" s="131" t="str">
        <x:f>IF(A244="","",IF(N244="Paga",0,IF(O244&gt;0,R244,S244)))</x:f>
      </x:c>
      <x:c r="W244" s="131" t="str">
        <x:f>IF(A244="","",ROUND(MAX(D244-F244,0),2))</x:f>
      </x:c>
      <x:c r="X244" s="131" t="str">
        <x:f>IF(A244="","",ROUND(SUM($G244:$G$407),2))</x:f>
      </x:c>
      <x:c r="Y244" s="131" t="str">
        <x:f>IF(A244="","",ROUND(MAX(X244-D244,0),2))</x:f>
      </x:c>
      <x:c r="Z244" s="131" t="str">
        <x:f>IF(A244="","",ROUND(SUM($V244:$V$407),2))</x:f>
      </x:c>
      <x:c r="AA244" s="131" t="str">
        <x:f>IF(A244="","",ROUND(SUM($K244:$K$407)-Z244,2))</x:f>
      </x:c>
      <x:c r="AB244" s="77"/>
      <x:c r="AC244" s="36" t="str">
        <x:f>IF(A244="","",IF(O244&gt;0,"Vencido: saldo da fatura + mora",IF(O244&lt;=0,"Vincendo: VP da parcela financeira; comissão/proteção futuras isentas","")))</x:f>
      </x:c>
    </x:row>
    <x:row r="245">
      <x:c r="A245" s="129" t="str">
        <x:f>IF(ROW()-7&lt;=Contrato!$C$16,ROW()-7,"")</x:f>
      </x:c>
      <x:c r="B245" s="129" t="str">
        <x:f>IF(A245="","",Contrato!$C$16)</x:f>
      </x:c>
      <x:c r="C245" s="130" t="str">
        <x:f>IF(A245="","",IF(AB245&lt;&gt;"",AB245,IF(Contrato!$C$14="Mensal",EDATE(Contrato!$C$13,A245-1),Contrato!$C$13+(A245-1)*IF(Contrato!$C$14="Quinzenal",14,IF(Contrato!$C$14="Semanal",7,1)))))</x:f>
      </x:c>
      <x:c r="D245" s="131" t="str">
        <x:f>IF(A245="","",W244)</x:f>
      </x:c>
      <x:c r="E245" s="131" t="str">
        <x:f>IF(A245="","",ROUND(D245*Simulador!$I$18,2))</x:f>
      </x:c>
      <x:c r="F245" s="131" t="str">
        <x:f>IF(A245="","",ROUND(MIN(D245,MAX(G245-E245,0)),2))</x:f>
      </x:c>
      <x:c r="G245" s="131" t="str">
        <x:f>IF(A245="","",IF(A245&lt;Contrato!$C$16,Contrato!$C$27,Contrato!$C$28))</x:f>
      </x:c>
      <x:c r="H245" s="131" t="str">
        <x:f>IF(A245="","",Contrato!$C$29)</x:f>
      </x:c>
      <x:c r="I245" s="131" t="str">
        <x:f>IF(A245="","",Contrato!$C$30)</x:f>
      </x:c>
      <x:c r="J245" s="131" t="str">
        <x:f>IF(A245="","",Contrato!$C$31)</x:f>
      </x:c>
      <x:c r="K245" s="131" t="str">
        <x:f>IF(A245="","",ROUND(SUM(G245:J245),2))</x:f>
      </x:c>
      <x:c r="L245" s="80"/>
      <x:c r="M245" s="77"/>
      <x:c r="N245" s="29" t="str">
        <x:f>IF(A245="","",IF(L245&gt;=K245,"Paga",IF(L245&gt;0,"Paga parcialmente",IF(C245&lt;$A$5,"Vencida","Prevista"))))</x:f>
      </x:c>
      <x:c r="O245" s="29" t="str">
        <x:f>IF(A245="","",$A$5-C245)</x:f>
      </x:c>
      <x:c r="P245" s="131" t="str">
        <x:f>IF(A245="","",IF(AND(O245&gt;0,MAX(K245-L245,0)&gt;0,N245&lt;&gt;"Paga"),ROUND(MAX(K245-L245,0)*'Parâmetros'!$B$34,2),0))</x:f>
      </x:c>
      <x:c r="Q245" s="131" t="str">
        <x:f>IF(A245="","",IF(AND(O245&gt;0,MAX(K245-L245,0)&gt;0,N245&lt;&gt;"Paga"),ROUND(MAX(K245-L245,0)*'Parâmetros'!$B$35*(O245/'Parâmetros'!$B$33),2),0))</x:f>
      </x:c>
      <x:c r="R245" s="131" t="str">
        <x:f>IF(A245="","",IF(O245&gt;0,ROUND(MAX(K245-L245,0)+P245+Q245,2),0))</x:f>
      </x:c>
      <x:c r="S245" s="131" t="str">
        <x:f>IF(A245="","",IF(OR(N245="Paga",O245&gt;0),0,ROUND(IF(K245=0,0,G245*MAX(K245-L245,0)/K245)/(1+'Parâmetros'!$C$13)^((C245-$A$5)/30),2)))</x:f>
      </x:c>
      <x:c r="T245" s="131" t="str">
        <x:f>IF(A245="","",0)</x:f>
      </x:c>
      <x:c r="U245" s="131" t="str">
        <x:f>IF(A245="","",0)</x:f>
      </x:c>
      <x:c r="V245" s="131" t="str">
        <x:f>IF(A245="","",IF(N245="Paga",0,IF(O245&gt;0,R245,S245)))</x:f>
      </x:c>
      <x:c r="W245" s="131" t="str">
        <x:f>IF(A245="","",ROUND(MAX(D245-F245,0),2))</x:f>
      </x:c>
      <x:c r="X245" s="131" t="str">
        <x:f>IF(A245="","",ROUND(SUM($G245:$G$407),2))</x:f>
      </x:c>
      <x:c r="Y245" s="131" t="str">
        <x:f>IF(A245="","",ROUND(MAX(X245-D245,0),2))</x:f>
      </x:c>
      <x:c r="Z245" s="131" t="str">
        <x:f>IF(A245="","",ROUND(SUM($V245:$V$407),2))</x:f>
      </x:c>
      <x:c r="AA245" s="131" t="str">
        <x:f>IF(A245="","",ROUND(SUM($K245:$K$407)-Z245,2))</x:f>
      </x:c>
      <x:c r="AB245" s="77"/>
      <x:c r="AC245" s="36" t="str">
        <x:f>IF(A245="","",IF(O245&gt;0,"Vencido: saldo da fatura + mora",IF(O245&lt;=0,"Vincendo: VP da parcela financeira; comissão/proteção futuras isentas","")))</x:f>
      </x:c>
    </x:row>
    <x:row r="246">
      <x:c r="A246" s="129" t="str">
        <x:f>IF(ROW()-7&lt;=Contrato!$C$16,ROW()-7,"")</x:f>
      </x:c>
      <x:c r="B246" s="129" t="str">
        <x:f>IF(A246="","",Contrato!$C$16)</x:f>
      </x:c>
      <x:c r="C246" s="130" t="str">
        <x:f>IF(A246="","",IF(AB246&lt;&gt;"",AB246,IF(Contrato!$C$14="Mensal",EDATE(Contrato!$C$13,A246-1),Contrato!$C$13+(A246-1)*IF(Contrato!$C$14="Quinzenal",14,IF(Contrato!$C$14="Semanal",7,1)))))</x:f>
      </x:c>
      <x:c r="D246" s="131" t="str">
        <x:f>IF(A246="","",W245)</x:f>
      </x:c>
      <x:c r="E246" s="131" t="str">
        <x:f>IF(A246="","",ROUND(D246*Simulador!$I$18,2))</x:f>
      </x:c>
      <x:c r="F246" s="131" t="str">
        <x:f>IF(A246="","",ROUND(MIN(D246,MAX(G246-E246,0)),2))</x:f>
      </x:c>
      <x:c r="G246" s="131" t="str">
        <x:f>IF(A246="","",IF(A246&lt;Contrato!$C$16,Contrato!$C$27,Contrato!$C$28))</x:f>
      </x:c>
      <x:c r="H246" s="131" t="str">
        <x:f>IF(A246="","",Contrato!$C$29)</x:f>
      </x:c>
      <x:c r="I246" s="131" t="str">
        <x:f>IF(A246="","",Contrato!$C$30)</x:f>
      </x:c>
      <x:c r="J246" s="131" t="str">
        <x:f>IF(A246="","",Contrato!$C$31)</x:f>
      </x:c>
      <x:c r="K246" s="131" t="str">
        <x:f>IF(A246="","",ROUND(SUM(G246:J246),2))</x:f>
      </x:c>
      <x:c r="L246" s="80"/>
      <x:c r="M246" s="77"/>
      <x:c r="N246" s="29" t="str">
        <x:f>IF(A246="","",IF(L246&gt;=K246,"Paga",IF(L246&gt;0,"Paga parcialmente",IF(C246&lt;$A$5,"Vencida","Prevista"))))</x:f>
      </x:c>
      <x:c r="O246" s="29" t="str">
        <x:f>IF(A246="","",$A$5-C246)</x:f>
      </x:c>
      <x:c r="P246" s="131" t="str">
        <x:f>IF(A246="","",IF(AND(O246&gt;0,MAX(K246-L246,0)&gt;0,N246&lt;&gt;"Paga"),ROUND(MAX(K246-L246,0)*'Parâmetros'!$B$34,2),0))</x:f>
      </x:c>
      <x:c r="Q246" s="131" t="str">
        <x:f>IF(A246="","",IF(AND(O246&gt;0,MAX(K246-L246,0)&gt;0,N246&lt;&gt;"Paga"),ROUND(MAX(K246-L246,0)*'Parâmetros'!$B$35*(O246/'Parâmetros'!$B$33),2),0))</x:f>
      </x:c>
      <x:c r="R246" s="131" t="str">
        <x:f>IF(A246="","",IF(O246&gt;0,ROUND(MAX(K246-L246,0)+P246+Q246,2),0))</x:f>
      </x:c>
      <x:c r="S246" s="131" t="str">
        <x:f>IF(A246="","",IF(OR(N246="Paga",O246&gt;0),0,ROUND(IF(K246=0,0,G246*MAX(K246-L246,0)/K246)/(1+'Parâmetros'!$C$13)^((C246-$A$5)/30),2)))</x:f>
      </x:c>
      <x:c r="T246" s="131" t="str">
        <x:f>IF(A246="","",0)</x:f>
      </x:c>
      <x:c r="U246" s="131" t="str">
        <x:f>IF(A246="","",0)</x:f>
      </x:c>
      <x:c r="V246" s="131" t="str">
        <x:f>IF(A246="","",IF(N246="Paga",0,IF(O246&gt;0,R246,S246)))</x:f>
      </x:c>
      <x:c r="W246" s="131" t="str">
        <x:f>IF(A246="","",ROUND(MAX(D246-F246,0),2))</x:f>
      </x:c>
      <x:c r="X246" s="131" t="str">
        <x:f>IF(A246="","",ROUND(SUM($G246:$G$407),2))</x:f>
      </x:c>
      <x:c r="Y246" s="131" t="str">
        <x:f>IF(A246="","",ROUND(MAX(X246-D246,0),2))</x:f>
      </x:c>
      <x:c r="Z246" s="131" t="str">
        <x:f>IF(A246="","",ROUND(SUM($V246:$V$407),2))</x:f>
      </x:c>
      <x:c r="AA246" s="131" t="str">
        <x:f>IF(A246="","",ROUND(SUM($K246:$K$407)-Z246,2))</x:f>
      </x:c>
      <x:c r="AB246" s="77"/>
      <x:c r="AC246" s="36" t="str">
        <x:f>IF(A246="","",IF(O246&gt;0,"Vencido: saldo da fatura + mora",IF(O246&lt;=0,"Vincendo: VP da parcela financeira; comissão/proteção futuras isentas","")))</x:f>
      </x:c>
    </x:row>
    <x:row r="247">
      <x:c r="A247" s="129" t="str">
        <x:f>IF(ROW()-7&lt;=Contrato!$C$16,ROW()-7,"")</x:f>
      </x:c>
      <x:c r="B247" s="129" t="str">
        <x:f>IF(A247="","",Contrato!$C$16)</x:f>
      </x:c>
      <x:c r="C247" s="130" t="str">
        <x:f>IF(A247="","",IF(AB247&lt;&gt;"",AB247,IF(Contrato!$C$14="Mensal",EDATE(Contrato!$C$13,A247-1),Contrato!$C$13+(A247-1)*IF(Contrato!$C$14="Quinzenal",14,IF(Contrato!$C$14="Semanal",7,1)))))</x:f>
      </x:c>
      <x:c r="D247" s="131" t="str">
        <x:f>IF(A247="","",W246)</x:f>
      </x:c>
      <x:c r="E247" s="131" t="str">
        <x:f>IF(A247="","",ROUND(D247*Simulador!$I$18,2))</x:f>
      </x:c>
      <x:c r="F247" s="131" t="str">
        <x:f>IF(A247="","",ROUND(MIN(D247,MAX(G247-E247,0)),2))</x:f>
      </x:c>
      <x:c r="G247" s="131" t="str">
        <x:f>IF(A247="","",IF(A247&lt;Contrato!$C$16,Contrato!$C$27,Contrato!$C$28))</x:f>
      </x:c>
      <x:c r="H247" s="131" t="str">
        <x:f>IF(A247="","",Contrato!$C$29)</x:f>
      </x:c>
      <x:c r="I247" s="131" t="str">
        <x:f>IF(A247="","",Contrato!$C$30)</x:f>
      </x:c>
      <x:c r="J247" s="131" t="str">
        <x:f>IF(A247="","",Contrato!$C$31)</x:f>
      </x:c>
      <x:c r="K247" s="131" t="str">
        <x:f>IF(A247="","",ROUND(SUM(G247:J247),2))</x:f>
      </x:c>
      <x:c r="L247" s="80"/>
      <x:c r="M247" s="77"/>
      <x:c r="N247" s="29" t="str">
        <x:f>IF(A247="","",IF(L247&gt;=K247,"Paga",IF(L247&gt;0,"Paga parcialmente",IF(C247&lt;$A$5,"Vencida","Prevista"))))</x:f>
      </x:c>
      <x:c r="O247" s="29" t="str">
        <x:f>IF(A247="","",$A$5-C247)</x:f>
      </x:c>
      <x:c r="P247" s="131" t="str">
        <x:f>IF(A247="","",IF(AND(O247&gt;0,MAX(K247-L247,0)&gt;0,N247&lt;&gt;"Paga"),ROUND(MAX(K247-L247,0)*'Parâmetros'!$B$34,2),0))</x:f>
      </x:c>
      <x:c r="Q247" s="131" t="str">
        <x:f>IF(A247="","",IF(AND(O247&gt;0,MAX(K247-L247,0)&gt;0,N247&lt;&gt;"Paga"),ROUND(MAX(K247-L247,0)*'Parâmetros'!$B$35*(O247/'Parâmetros'!$B$33),2),0))</x:f>
      </x:c>
      <x:c r="R247" s="131" t="str">
        <x:f>IF(A247="","",IF(O247&gt;0,ROUND(MAX(K247-L247,0)+P247+Q247,2),0))</x:f>
      </x:c>
      <x:c r="S247" s="131" t="str">
        <x:f>IF(A247="","",IF(OR(N247="Paga",O247&gt;0),0,ROUND(IF(K247=0,0,G247*MAX(K247-L247,0)/K247)/(1+'Parâmetros'!$C$13)^((C247-$A$5)/30),2)))</x:f>
      </x:c>
      <x:c r="T247" s="131" t="str">
        <x:f>IF(A247="","",0)</x:f>
      </x:c>
      <x:c r="U247" s="131" t="str">
        <x:f>IF(A247="","",0)</x:f>
      </x:c>
      <x:c r="V247" s="131" t="str">
        <x:f>IF(A247="","",IF(N247="Paga",0,IF(O247&gt;0,R247,S247)))</x:f>
      </x:c>
      <x:c r="W247" s="131" t="str">
        <x:f>IF(A247="","",ROUND(MAX(D247-F247,0),2))</x:f>
      </x:c>
      <x:c r="X247" s="131" t="str">
        <x:f>IF(A247="","",ROUND(SUM($G247:$G$407),2))</x:f>
      </x:c>
      <x:c r="Y247" s="131" t="str">
        <x:f>IF(A247="","",ROUND(MAX(X247-D247,0),2))</x:f>
      </x:c>
      <x:c r="Z247" s="131" t="str">
        <x:f>IF(A247="","",ROUND(SUM($V247:$V$407),2))</x:f>
      </x:c>
      <x:c r="AA247" s="131" t="str">
        <x:f>IF(A247="","",ROUND(SUM($K247:$K$407)-Z247,2))</x:f>
      </x:c>
      <x:c r="AB247" s="77"/>
      <x:c r="AC247" s="36" t="str">
        <x:f>IF(A247="","",IF(O247&gt;0,"Vencido: saldo da fatura + mora",IF(O247&lt;=0,"Vincendo: VP da parcela financeira; comissão/proteção futuras isentas","")))</x:f>
      </x:c>
    </x:row>
    <x:row r="248">
      <x:c r="A248" s="129" t="str">
        <x:f>IF(ROW()-7&lt;=Contrato!$C$16,ROW()-7,"")</x:f>
      </x:c>
      <x:c r="B248" s="129" t="str">
        <x:f>IF(A248="","",Contrato!$C$16)</x:f>
      </x:c>
      <x:c r="C248" s="130" t="str">
        <x:f>IF(A248="","",IF(AB248&lt;&gt;"",AB248,IF(Contrato!$C$14="Mensal",EDATE(Contrato!$C$13,A248-1),Contrato!$C$13+(A248-1)*IF(Contrato!$C$14="Quinzenal",14,IF(Contrato!$C$14="Semanal",7,1)))))</x:f>
      </x:c>
      <x:c r="D248" s="131" t="str">
        <x:f>IF(A248="","",W247)</x:f>
      </x:c>
      <x:c r="E248" s="131" t="str">
        <x:f>IF(A248="","",ROUND(D248*Simulador!$I$18,2))</x:f>
      </x:c>
      <x:c r="F248" s="131" t="str">
        <x:f>IF(A248="","",ROUND(MIN(D248,MAX(G248-E248,0)),2))</x:f>
      </x:c>
      <x:c r="G248" s="131" t="str">
        <x:f>IF(A248="","",IF(A248&lt;Contrato!$C$16,Contrato!$C$27,Contrato!$C$28))</x:f>
      </x:c>
      <x:c r="H248" s="131" t="str">
        <x:f>IF(A248="","",Contrato!$C$29)</x:f>
      </x:c>
      <x:c r="I248" s="131" t="str">
        <x:f>IF(A248="","",Contrato!$C$30)</x:f>
      </x:c>
      <x:c r="J248" s="131" t="str">
        <x:f>IF(A248="","",Contrato!$C$31)</x:f>
      </x:c>
      <x:c r="K248" s="131" t="str">
        <x:f>IF(A248="","",ROUND(SUM(G248:J248),2))</x:f>
      </x:c>
      <x:c r="L248" s="80"/>
      <x:c r="M248" s="77"/>
      <x:c r="N248" s="29" t="str">
        <x:f>IF(A248="","",IF(L248&gt;=K248,"Paga",IF(L248&gt;0,"Paga parcialmente",IF(C248&lt;$A$5,"Vencida","Prevista"))))</x:f>
      </x:c>
      <x:c r="O248" s="29" t="str">
        <x:f>IF(A248="","",$A$5-C248)</x:f>
      </x:c>
      <x:c r="P248" s="131" t="str">
        <x:f>IF(A248="","",IF(AND(O248&gt;0,MAX(K248-L248,0)&gt;0,N248&lt;&gt;"Paga"),ROUND(MAX(K248-L248,0)*'Parâmetros'!$B$34,2),0))</x:f>
      </x:c>
      <x:c r="Q248" s="131" t="str">
        <x:f>IF(A248="","",IF(AND(O248&gt;0,MAX(K248-L248,0)&gt;0,N248&lt;&gt;"Paga"),ROUND(MAX(K248-L248,0)*'Parâmetros'!$B$35*(O248/'Parâmetros'!$B$33),2),0))</x:f>
      </x:c>
      <x:c r="R248" s="131" t="str">
        <x:f>IF(A248="","",IF(O248&gt;0,ROUND(MAX(K248-L248,0)+P248+Q248,2),0))</x:f>
      </x:c>
      <x:c r="S248" s="131" t="str">
        <x:f>IF(A248="","",IF(OR(N248="Paga",O248&gt;0),0,ROUND(IF(K248=0,0,G248*MAX(K248-L248,0)/K248)/(1+'Parâmetros'!$C$13)^((C248-$A$5)/30),2)))</x:f>
      </x:c>
      <x:c r="T248" s="131" t="str">
        <x:f>IF(A248="","",0)</x:f>
      </x:c>
      <x:c r="U248" s="131" t="str">
        <x:f>IF(A248="","",0)</x:f>
      </x:c>
      <x:c r="V248" s="131" t="str">
        <x:f>IF(A248="","",IF(N248="Paga",0,IF(O248&gt;0,R248,S248)))</x:f>
      </x:c>
      <x:c r="W248" s="131" t="str">
        <x:f>IF(A248="","",ROUND(MAX(D248-F248,0),2))</x:f>
      </x:c>
      <x:c r="X248" s="131" t="str">
        <x:f>IF(A248="","",ROUND(SUM($G248:$G$407),2))</x:f>
      </x:c>
      <x:c r="Y248" s="131" t="str">
        <x:f>IF(A248="","",ROUND(MAX(X248-D248,0),2))</x:f>
      </x:c>
      <x:c r="Z248" s="131" t="str">
        <x:f>IF(A248="","",ROUND(SUM($V248:$V$407),2))</x:f>
      </x:c>
      <x:c r="AA248" s="131" t="str">
        <x:f>IF(A248="","",ROUND(SUM($K248:$K$407)-Z248,2))</x:f>
      </x:c>
      <x:c r="AB248" s="77"/>
      <x:c r="AC248" s="36" t="str">
        <x:f>IF(A248="","",IF(O248&gt;0,"Vencido: saldo da fatura + mora",IF(O248&lt;=0,"Vincendo: VP da parcela financeira; comissão/proteção futuras isentas","")))</x:f>
      </x:c>
    </x:row>
    <x:row r="249">
      <x:c r="A249" s="129" t="str">
        <x:f>IF(ROW()-7&lt;=Contrato!$C$16,ROW()-7,"")</x:f>
      </x:c>
      <x:c r="B249" s="129" t="str">
        <x:f>IF(A249="","",Contrato!$C$16)</x:f>
      </x:c>
      <x:c r="C249" s="130" t="str">
        <x:f>IF(A249="","",IF(AB249&lt;&gt;"",AB249,IF(Contrato!$C$14="Mensal",EDATE(Contrato!$C$13,A249-1),Contrato!$C$13+(A249-1)*IF(Contrato!$C$14="Quinzenal",14,IF(Contrato!$C$14="Semanal",7,1)))))</x:f>
      </x:c>
      <x:c r="D249" s="131" t="str">
        <x:f>IF(A249="","",W248)</x:f>
      </x:c>
      <x:c r="E249" s="131" t="str">
        <x:f>IF(A249="","",ROUND(D249*Simulador!$I$18,2))</x:f>
      </x:c>
      <x:c r="F249" s="131" t="str">
        <x:f>IF(A249="","",ROUND(MIN(D249,MAX(G249-E249,0)),2))</x:f>
      </x:c>
      <x:c r="G249" s="131" t="str">
        <x:f>IF(A249="","",IF(A249&lt;Contrato!$C$16,Contrato!$C$27,Contrato!$C$28))</x:f>
      </x:c>
      <x:c r="H249" s="131" t="str">
        <x:f>IF(A249="","",Contrato!$C$29)</x:f>
      </x:c>
      <x:c r="I249" s="131" t="str">
        <x:f>IF(A249="","",Contrato!$C$30)</x:f>
      </x:c>
      <x:c r="J249" s="131" t="str">
        <x:f>IF(A249="","",Contrato!$C$31)</x:f>
      </x:c>
      <x:c r="K249" s="131" t="str">
        <x:f>IF(A249="","",ROUND(SUM(G249:J249),2))</x:f>
      </x:c>
      <x:c r="L249" s="80"/>
      <x:c r="M249" s="77"/>
      <x:c r="N249" s="29" t="str">
        <x:f>IF(A249="","",IF(L249&gt;=K249,"Paga",IF(L249&gt;0,"Paga parcialmente",IF(C249&lt;$A$5,"Vencida","Prevista"))))</x:f>
      </x:c>
      <x:c r="O249" s="29" t="str">
        <x:f>IF(A249="","",$A$5-C249)</x:f>
      </x:c>
      <x:c r="P249" s="131" t="str">
        <x:f>IF(A249="","",IF(AND(O249&gt;0,MAX(K249-L249,0)&gt;0,N249&lt;&gt;"Paga"),ROUND(MAX(K249-L249,0)*'Parâmetros'!$B$34,2),0))</x:f>
      </x:c>
      <x:c r="Q249" s="131" t="str">
        <x:f>IF(A249="","",IF(AND(O249&gt;0,MAX(K249-L249,0)&gt;0,N249&lt;&gt;"Paga"),ROUND(MAX(K249-L249,0)*'Parâmetros'!$B$35*(O249/'Parâmetros'!$B$33),2),0))</x:f>
      </x:c>
      <x:c r="R249" s="131" t="str">
        <x:f>IF(A249="","",IF(O249&gt;0,ROUND(MAX(K249-L249,0)+P249+Q249,2),0))</x:f>
      </x:c>
      <x:c r="S249" s="131" t="str">
        <x:f>IF(A249="","",IF(OR(N249="Paga",O249&gt;0),0,ROUND(IF(K249=0,0,G249*MAX(K249-L249,0)/K249)/(1+'Parâmetros'!$C$13)^((C249-$A$5)/30),2)))</x:f>
      </x:c>
      <x:c r="T249" s="131" t="str">
        <x:f>IF(A249="","",0)</x:f>
      </x:c>
      <x:c r="U249" s="131" t="str">
        <x:f>IF(A249="","",0)</x:f>
      </x:c>
      <x:c r="V249" s="131" t="str">
        <x:f>IF(A249="","",IF(N249="Paga",0,IF(O249&gt;0,R249,S249)))</x:f>
      </x:c>
      <x:c r="W249" s="131" t="str">
        <x:f>IF(A249="","",ROUND(MAX(D249-F249,0),2))</x:f>
      </x:c>
      <x:c r="X249" s="131" t="str">
        <x:f>IF(A249="","",ROUND(SUM($G249:$G$407),2))</x:f>
      </x:c>
      <x:c r="Y249" s="131" t="str">
        <x:f>IF(A249="","",ROUND(MAX(X249-D249,0),2))</x:f>
      </x:c>
      <x:c r="Z249" s="131" t="str">
        <x:f>IF(A249="","",ROUND(SUM($V249:$V$407),2))</x:f>
      </x:c>
      <x:c r="AA249" s="131" t="str">
        <x:f>IF(A249="","",ROUND(SUM($K249:$K$407)-Z249,2))</x:f>
      </x:c>
      <x:c r="AB249" s="77"/>
      <x:c r="AC249" s="36" t="str">
        <x:f>IF(A249="","",IF(O249&gt;0,"Vencido: saldo da fatura + mora",IF(O249&lt;=0,"Vincendo: VP da parcela financeira; comissão/proteção futuras isentas","")))</x:f>
      </x:c>
    </x:row>
    <x:row r="250">
      <x:c r="A250" s="129" t="str">
        <x:f>IF(ROW()-7&lt;=Contrato!$C$16,ROW()-7,"")</x:f>
      </x:c>
      <x:c r="B250" s="129" t="str">
        <x:f>IF(A250="","",Contrato!$C$16)</x:f>
      </x:c>
      <x:c r="C250" s="130" t="str">
        <x:f>IF(A250="","",IF(AB250&lt;&gt;"",AB250,IF(Contrato!$C$14="Mensal",EDATE(Contrato!$C$13,A250-1),Contrato!$C$13+(A250-1)*IF(Contrato!$C$14="Quinzenal",14,IF(Contrato!$C$14="Semanal",7,1)))))</x:f>
      </x:c>
      <x:c r="D250" s="131" t="str">
        <x:f>IF(A250="","",W249)</x:f>
      </x:c>
      <x:c r="E250" s="131" t="str">
        <x:f>IF(A250="","",ROUND(D250*Simulador!$I$18,2))</x:f>
      </x:c>
      <x:c r="F250" s="131" t="str">
        <x:f>IF(A250="","",ROUND(MIN(D250,MAX(G250-E250,0)),2))</x:f>
      </x:c>
      <x:c r="G250" s="131" t="str">
        <x:f>IF(A250="","",IF(A250&lt;Contrato!$C$16,Contrato!$C$27,Contrato!$C$28))</x:f>
      </x:c>
      <x:c r="H250" s="131" t="str">
        <x:f>IF(A250="","",Contrato!$C$29)</x:f>
      </x:c>
      <x:c r="I250" s="131" t="str">
        <x:f>IF(A250="","",Contrato!$C$30)</x:f>
      </x:c>
      <x:c r="J250" s="131" t="str">
        <x:f>IF(A250="","",Contrato!$C$31)</x:f>
      </x:c>
      <x:c r="K250" s="131" t="str">
        <x:f>IF(A250="","",ROUND(SUM(G250:J250),2))</x:f>
      </x:c>
      <x:c r="L250" s="80"/>
      <x:c r="M250" s="77"/>
      <x:c r="N250" s="29" t="str">
        <x:f>IF(A250="","",IF(L250&gt;=K250,"Paga",IF(L250&gt;0,"Paga parcialmente",IF(C250&lt;$A$5,"Vencida","Prevista"))))</x:f>
      </x:c>
      <x:c r="O250" s="29" t="str">
        <x:f>IF(A250="","",$A$5-C250)</x:f>
      </x:c>
      <x:c r="P250" s="131" t="str">
        <x:f>IF(A250="","",IF(AND(O250&gt;0,MAX(K250-L250,0)&gt;0,N250&lt;&gt;"Paga"),ROUND(MAX(K250-L250,0)*'Parâmetros'!$B$34,2),0))</x:f>
      </x:c>
      <x:c r="Q250" s="131" t="str">
        <x:f>IF(A250="","",IF(AND(O250&gt;0,MAX(K250-L250,0)&gt;0,N250&lt;&gt;"Paga"),ROUND(MAX(K250-L250,0)*'Parâmetros'!$B$35*(O250/'Parâmetros'!$B$33),2),0))</x:f>
      </x:c>
      <x:c r="R250" s="131" t="str">
        <x:f>IF(A250="","",IF(O250&gt;0,ROUND(MAX(K250-L250,0)+P250+Q250,2),0))</x:f>
      </x:c>
      <x:c r="S250" s="131" t="str">
        <x:f>IF(A250="","",IF(OR(N250="Paga",O250&gt;0),0,ROUND(IF(K250=0,0,G250*MAX(K250-L250,0)/K250)/(1+'Parâmetros'!$C$13)^((C250-$A$5)/30),2)))</x:f>
      </x:c>
      <x:c r="T250" s="131" t="str">
        <x:f>IF(A250="","",0)</x:f>
      </x:c>
      <x:c r="U250" s="131" t="str">
        <x:f>IF(A250="","",0)</x:f>
      </x:c>
      <x:c r="V250" s="131" t="str">
        <x:f>IF(A250="","",IF(N250="Paga",0,IF(O250&gt;0,R250,S250)))</x:f>
      </x:c>
      <x:c r="W250" s="131" t="str">
        <x:f>IF(A250="","",ROUND(MAX(D250-F250,0),2))</x:f>
      </x:c>
      <x:c r="X250" s="131" t="str">
        <x:f>IF(A250="","",ROUND(SUM($G250:$G$407),2))</x:f>
      </x:c>
      <x:c r="Y250" s="131" t="str">
        <x:f>IF(A250="","",ROUND(MAX(X250-D250,0),2))</x:f>
      </x:c>
      <x:c r="Z250" s="131" t="str">
        <x:f>IF(A250="","",ROUND(SUM($V250:$V$407),2))</x:f>
      </x:c>
      <x:c r="AA250" s="131" t="str">
        <x:f>IF(A250="","",ROUND(SUM($K250:$K$407)-Z250,2))</x:f>
      </x:c>
      <x:c r="AB250" s="77"/>
      <x:c r="AC250" s="36" t="str">
        <x:f>IF(A250="","",IF(O250&gt;0,"Vencido: saldo da fatura + mora",IF(O250&lt;=0,"Vincendo: VP da parcela financeira; comissão/proteção futuras isentas","")))</x:f>
      </x:c>
    </x:row>
    <x:row r="251">
      <x:c r="A251" s="129" t="str">
        <x:f>IF(ROW()-7&lt;=Contrato!$C$16,ROW()-7,"")</x:f>
      </x:c>
      <x:c r="B251" s="129" t="str">
        <x:f>IF(A251="","",Contrato!$C$16)</x:f>
      </x:c>
      <x:c r="C251" s="130" t="str">
        <x:f>IF(A251="","",IF(AB251&lt;&gt;"",AB251,IF(Contrato!$C$14="Mensal",EDATE(Contrato!$C$13,A251-1),Contrato!$C$13+(A251-1)*IF(Contrato!$C$14="Quinzenal",14,IF(Contrato!$C$14="Semanal",7,1)))))</x:f>
      </x:c>
      <x:c r="D251" s="131" t="str">
        <x:f>IF(A251="","",W250)</x:f>
      </x:c>
      <x:c r="E251" s="131" t="str">
        <x:f>IF(A251="","",ROUND(D251*Simulador!$I$18,2))</x:f>
      </x:c>
      <x:c r="F251" s="131" t="str">
        <x:f>IF(A251="","",ROUND(MIN(D251,MAX(G251-E251,0)),2))</x:f>
      </x:c>
      <x:c r="G251" s="131" t="str">
        <x:f>IF(A251="","",IF(A251&lt;Contrato!$C$16,Contrato!$C$27,Contrato!$C$28))</x:f>
      </x:c>
      <x:c r="H251" s="131" t="str">
        <x:f>IF(A251="","",Contrato!$C$29)</x:f>
      </x:c>
      <x:c r="I251" s="131" t="str">
        <x:f>IF(A251="","",Contrato!$C$30)</x:f>
      </x:c>
      <x:c r="J251" s="131" t="str">
        <x:f>IF(A251="","",Contrato!$C$31)</x:f>
      </x:c>
      <x:c r="K251" s="131" t="str">
        <x:f>IF(A251="","",ROUND(SUM(G251:J251),2))</x:f>
      </x:c>
      <x:c r="L251" s="80"/>
      <x:c r="M251" s="77"/>
      <x:c r="N251" s="29" t="str">
        <x:f>IF(A251="","",IF(L251&gt;=K251,"Paga",IF(L251&gt;0,"Paga parcialmente",IF(C251&lt;$A$5,"Vencida","Prevista"))))</x:f>
      </x:c>
      <x:c r="O251" s="29" t="str">
        <x:f>IF(A251="","",$A$5-C251)</x:f>
      </x:c>
      <x:c r="P251" s="131" t="str">
        <x:f>IF(A251="","",IF(AND(O251&gt;0,MAX(K251-L251,0)&gt;0,N251&lt;&gt;"Paga"),ROUND(MAX(K251-L251,0)*'Parâmetros'!$B$34,2),0))</x:f>
      </x:c>
      <x:c r="Q251" s="131" t="str">
        <x:f>IF(A251="","",IF(AND(O251&gt;0,MAX(K251-L251,0)&gt;0,N251&lt;&gt;"Paga"),ROUND(MAX(K251-L251,0)*'Parâmetros'!$B$35*(O251/'Parâmetros'!$B$33),2),0))</x:f>
      </x:c>
      <x:c r="R251" s="131" t="str">
        <x:f>IF(A251="","",IF(O251&gt;0,ROUND(MAX(K251-L251,0)+P251+Q251,2),0))</x:f>
      </x:c>
      <x:c r="S251" s="131" t="str">
        <x:f>IF(A251="","",IF(OR(N251="Paga",O251&gt;0),0,ROUND(IF(K251=0,0,G251*MAX(K251-L251,0)/K251)/(1+'Parâmetros'!$C$13)^((C251-$A$5)/30),2)))</x:f>
      </x:c>
      <x:c r="T251" s="131" t="str">
        <x:f>IF(A251="","",0)</x:f>
      </x:c>
      <x:c r="U251" s="131" t="str">
        <x:f>IF(A251="","",0)</x:f>
      </x:c>
      <x:c r="V251" s="131" t="str">
        <x:f>IF(A251="","",IF(N251="Paga",0,IF(O251&gt;0,R251,S251)))</x:f>
      </x:c>
      <x:c r="W251" s="131" t="str">
        <x:f>IF(A251="","",ROUND(MAX(D251-F251,0),2))</x:f>
      </x:c>
      <x:c r="X251" s="131" t="str">
        <x:f>IF(A251="","",ROUND(SUM($G251:$G$407),2))</x:f>
      </x:c>
      <x:c r="Y251" s="131" t="str">
        <x:f>IF(A251="","",ROUND(MAX(X251-D251,0),2))</x:f>
      </x:c>
      <x:c r="Z251" s="131" t="str">
        <x:f>IF(A251="","",ROUND(SUM($V251:$V$407),2))</x:f>
      </x:c>
      <x:c r="AA251" s="131" t="str">
        <x:f>IF(A251="","",ROUND(SUM($K251:$K$407)-Z251,2))</x:f>
      </x:c>
      <x:c r="AB251" s="77"/>
      <x:c r="AC251" s="36" t="str">
        <x:f>IF(A251="","",IF(O251&gt;0,"Vencido: saldo da fatura + mora",IF(O251&lt;=0,"Vincendo: VP da parcela financeira; comissão/proteção futuras isentas","")))</x:f>
      </x:c>
    </x:row>
    <x:row r="252">
      <x:c r="A252" s="129" t="str">
        <x:f>IF(ROW()-7&lt;=Contrato!$C$16,ROW()-7,"")</x:f>
      </x:c>
      <x:c r="B252" s="129" t="str">
        <x:f>IF(A252="","",Contrato!$C$16)</x:f>
      </x:c>
      <x:c r="C252" s="130" t="str">
        <x:f>IF(A252="","",IF(AB252&lt;&gt;"",AB252,IF(Contrato!$C$14="Mensal",EDATE(Contrato!$C$13,A252-1),Contrato!$C$13+(A252-1)*IF(Contrato!$C$14="Quinzenal",14,IF(Contrato!$C$14="Semanal",7,1)))))</x:f>
      </x:c>
      <x:c r="D252" s="131" t="str">
        <x:f>IF(A252="","",W251)</x:f>
      </x:c>
      <x:c r="E252" s="131" t="str">
        <x:f>IF(A252="","",ROUND(D252*Simulador!$I$18,2))</x:f>
      </x:c>
      <x:c r="F252" s="131" t="str">
        <x:f>IF(A252="","",ROUND(MIN(D252,MAX(G252-E252,0)),2))</x:f>
      </x:c>
      <x:c r="G252" s="131" t="str">
        <x:f>IF(A252="","",IF(A252&lt;Contrato!$C$16,Contrato!$C$27,Contrato!$C$28))</x:f>
      </x:c>
      <x:c r="H252" s="131" t="str">
        <x:f>IF(A252="","",Contrato!$C$29)</x:f>
      </x:c>
      <x:c r="I252" s="131" t="str">
        <x:f>IF(A252="","",Contrato!$C$30)</x:f>
      </x:c>
      <x:c r="J252" s="131" t="str">
        <x:f>IF(A252="","",Contrato!$C$31)</x:f>
      </x:c>
      <x:c r="K252" s="131" t="str">
        <x:f>IF(A252="","",ROUND(SUM(G252:J252),2))</x:f>
      </x:c>
      <x:c r="L252" s="80"/>
      <x:c r="M252" s="77"/>
      <x:c r="N252" s="29" t="str">
        <x:f>IF(A252="","",IF(L252&gt;=K252,"Paga",IF(L252&gt;0,"Paga parcialmente",IF(C252&lt;$A$5,"Vencida","Prevista"))))</x:f>
      </x:c>
      <x:c r="O252" s="29" t="str">
        <x:f>IF(A252="","",$A$5-C252)</x:f>
      </x:c>
      <x:c r="P252" s="131" t="str">
        <x:f>IF(A252="","",IF(AND(O252&gt;0,MAX(K252-L252,0)&gt;0,N252&lt;&gt;"Paga"),ROUND(MAX(K252-L252,0)*'Parâmetros'!$B$34,2),0))</x:f>
      </x:c>
      <x:c r="Q252" s="131" t="str">
        <x:f>IF(A252="","",IF(AND(O252&gt;0,MAX(K252-L252,0)&gt;0,N252&lt;&gt;"Paga"),ROUND(MAX(K252-L252,0)*'Parâmetros'!$B$35*(O252/'Parâmetros'!$B$33),2),0))</x:f>
      </x:c>
      <x:c r="R252" s="131" t="str">
        <x:f>IF(A252="","",IF(O252&gt;0,ROUND(MAX(K252-L252,0)+P252+Q252,2),0))</x:f>
      </x:c>
      <x:c r="S252" s="131" t="str">
        <x:f>IF(A252="","",IF(OR(N252="Paga",O252&gt;0),0,ROUND(IF(K252=0,0,G252*MAX(K252-L252,0)/K252)/(1+'Parâmetros'!$C$13)^((C252-$A$5)/30),2)))</x:f>
      </x:c>
      <x:c r="T252" s="131" t="str">
        <x:f>IF(A252="","",0)</x:f>
      </x:c>
      <x:c r="U252" s="131" t="str">
        <x:f>IF(A252="","",0)</x:f>
      </x:c>
      <x:c r="V252" s="131" t="str">
        <x:f>IF(A252="","",IF(N252="Paga",0,IF(O252&gt;0,R252,S252)))</x:f>
      </x:c>
      <x:c r="W252" s="131" t="str">
        <x:f>IF(A252="","",ROUND(MAX(D252-F252,0),2))</x:f>
      </x:c>
      <x:c r="X252" s="131" t="str">
        <x:f>IF(A252="","",ROUND(SUM($G252:$G$407),2))</x:f>
      </x:c>
      <x:c r="Y252" s="131" t="str">
        <x:f>IF(A252="","",ROUND(MAX(X252-D252,0),2))</x:f>
      </x:c>
      <x:c r="Z252" s="131" t="str">
        <x:f>IF(A252="","",ROUND(SUM($V252:$V$407),2))</x:f>
      </x:c>
      <x:c r="AA252" s="131" t="str">
        <x:f>IF(A252="","",ROUND(SUM($K252:$K$407)-Z252,2))</x:f>
      </x:c>
      <x:c r="AB252" s="77"/>
      <x:c r="AC252" s="36" t="str">
        <x:f>IF(A252="","",IF(O252&gt;0,"Vencido: saldo da fatura + mora",IF(O252&lt;=0,"Vincendo: VP da parcela financeira; comissão/proteção futuras isentas","")))</x:f>
      </x:c>
    </x:row>
    <x:row r="253">
      <x:c r="A253" s="129" t="str">
        <x:f>IF(ROW()-7&lt;=Contrato!$C$16,ROW()-7,"")</x:f>
      </x:c>
      <x:c r="B253" s="129" t="str">
        <x:f>IF(A253="","",Contrato!$C$16)</x:f>
      </x:c>
      <x:c r="C253" s="130" t="str">
        <x:f>IF(A253="","",IF(AB253&lt;&gt;"",AB253,IF(Contrato!$C$14="Mensal",EDATE(Contrato!$C$13,A253-1),Contrato!$C$13+(A253-1)*IF(Contrato!$C$14="Quinzenal",14,IF(Contrato!$C$14="Semanal",7,1)))))</x:f>
      </x:c>
      <x:c r="D253" s="131" t="str">
        <x:f>IF(A253="","",W252)</x:f>
      </x:c>
      <x:c r="E253" s="131" t="str">
        <x:f>IF(A253="","",ROUND(D253*Simulador!$I$18,2))</x:f>
      </x:c>
      <x:c r="F253" s="131" t="str">
        <x:f>IF(A253="","",ROUND(MIN(D253,MAX(G253-E253,0)),2))</x:f>
      </x:c>
      <x:c r="G253" s="131" t="str">
        <x:f>IF(A253="","",IF(A253&lt;Contrato!$C$16,Contrato!$C$27,Contrato!$C$28))</x:f>
      </x:c>
      <x:c r="H253" s="131" t="str">
        <x:f>IF(A253="","",Contrato!$C$29)</x:f>
      </x:c>
      <x:c r="I253" s="131" t="str">
        <x:f>IF(A253="","",Contrato!$C$30)</x:f>
      </x:c>
      <x:c r="J253" s="131" t="str">
        <x:f>IF(A253="","",Contrato!$C$31)</x:f>
      </x:c>
      <x:c r="K253" s="131" t="str">
        <x:f>IF(A253="","",ROUND(SUM(G253:J253),2))</x:f>
      </x:c>
      <x:c r="L253" s="80"/>
      <x:c r="M253" s="77"/>
      <x:c r="N253" s="29" t="str">
        <x:f>IF(A253="","",IF(L253&gt;=K253,"Paga",IF(L253&gt;0,"Paga parcialmente",IF(C253&lt;$A$5,"Vencida","Prevista"))))</x:f>
      </x:c>
      <x:c r="O253" s="29" t="str">
        <x:f>IF(A253="","",$A$5-C253)</x:f>
      </x:c>
      <x:c r="P253" s="131" t="str">
        <x:f>IF(A253="","",IF(AND(O253&gt;0,MAX(K253-L253,0)&gt;0,N253&lt;&gt;"Paga"),ROUND(MAX(K253-L253,0)*'Parâmetros'!$B$34,2),0))</x:f>
      </x:c>
      <x:c r="Q253" s="131" t="str">
        <x:f>IF(A253="","",IF(AND(O253&gt;0,MAX(K253-L253,0)&gt;0,N253&lt;&gt;"Paga"),ROUND(MAX(K253-L253,0)*'Parâmetros'!$B$35*(O253/'Parâmetros'!$B$33),2),0))</x:f>
      </x:c>
      <x:c r="R253" s="131" t="str">
        <x:f>IF(A253="","",IF(O253&gt;0,ROUND(MAX(K253-L253,0)+P253+Q253,2),0))</x:f>
      </x:c>
      <x:c r="S253" s="131" t="str">
        <x:f>IF(A253="","",IF(OR(N253="Paga",O253&gt;0),0,ROUND(IF(K253=0,0,G253*MAX(K253-L253,0)/K253)/(1+'Parâmetros'!$C$13)^((C253-$A$5)/30),2)))</x:f>
      </x:c>
      <x:c r="T253" s="131" t="str">
        <x:f>IF(A253="","",0)</x:f>
      </x:c>
      <x:c r="U253" s="131" t="str">
        <x:f>IF(A253="","",0)</x:f>
      </x:c>
      <x:c r="V253" s="131" t="str">
        <x:f>IF(A253="","",IF(N253="Paga",0,IF(O253&gt;0,R253,S253)))</x:f>
      </x:c>
      <x:c r="W253" s="131" t="str">
        <x:f>IF(A253="","",ROUND(MAX(D253-F253,0),2))</x:f>
      </x:c>
      <x:c r="X253" s="131" t="str">
        <x:f>IF(A253="","",ROUND(SUM($G253:$G$407),2))</x:f>
      </x:c>
      <x:c r="Y253" s="131" t="str">
        <x:f>IF(A253="","",ROUND(MAX(X253-D253,0),2))</x:f>
      </x:c>
      <x:c r="Z253" s="131" t="str">
        <x:f>IF(A253="","",ROUND(SUM($V253:$V$407),2))</x:f>
      </x:c>
      <x:c r="AA253" s="131" t="str">
        <x:f>IF(A253="","",ROUND(SUM($K253:$K$407)-Z253,2))</x:f>
      </x:c>
      <x:c r="AB253" s="77"/>
      <x:c r="AC253" s="36" t="str">
        <x:f>IF(A253="","",IF(O253&gt;0,"Vencido: saldo da fatura + mora",IF(O253&lt;=0,"Vincendo: VP da parcela financeira; comissão/proteção futuras isentas","")))</x:f>
      </x:c>
    </x:row>
    <x:row r="254">
      <x:c r="A254" s="129" t="str">
        <x:f>IF(ROW()-7&lt;=Contrato!$C$16,ROW()-7,"")</x:f>
      </x:c>
      <x:c r="B254" s="129" t="str">
        <x:f>IF(A254="","",Contrato!$C$16)</x:f>
      </x:c>
      <x:c r="C254" s="130" t="str">
        <x:f>IF(A254="","",IF(AB254&lt;&gt;"",AB254,IF(Contrato!$C$14="Mensal",EDATE(Contrato!$C$13,A254-1),Contrato!$C$13+(A254-1)*IF(Contrato!$C$14="Quinzenal",14,IF(Contrato!$C$14="Semanal",7,1)))))</x:f>
      </x:c>
      <x:c r="D254" s="131" t="str">
        <x:f>IF(A254="","",W253)</x:f>
      </x:c>
      <x:c r="E254" s="131" t="str">
        <x:f>IF(A254="","",ROUND(D254*Simulador!$I$18,2))</x:f>
      </x:c>
      <x:c r="F254" s="131" t="str">
        <x:f>IF(A254="","",ROUND(MIN(D254,MAX(G254-E254,0)),2))</x:f>
      </x:c>
      <x:c r="G254" s="131" t="str">
        <x:f>IF(A254="","",IF(A254&lt;Contrato!$C$16,Contrato!$C$27,Contrato!$C$28))</x:f>
      </x:c>
      <x:c r="H254" s="131" t="str">
        <x:f>IF(A254="","",Contrato!$C$29)</x:f>
      </x:c>
      <x:c r="I254" s="131" t="str">
        <x:f>IF(A254="","",Contrato!$C$30)</x:f>
      </x:c>
      <x:c r="J254" s="131" t="str">
        <x:f>IF(A254="","",Contrato!$C$31)</x:f>
      </x:c>
      <x:c r="K254" s="131" t="str">
        <x:f>IF(A254="","",ROUND(SUM(G254:J254),2))</x:f>
      </x:c>
      <x:c r="L254" s="80"/>
      <x:c r="M254" s="77"/>
      <x:c r="N254" s="29" t="str">
        <x:f>IF(A254="","",IF(L254&gt;=K254,"Paga",IF(L254&gt;0,"Paga parcialmente",IF(C254&lt;$A$5,"Vencida","Prevista"))))</x:f>
      </x:c>
      <x:c r="O254" s="29" t="str">
        <x:f>IF(A254="","",$A$5-C254)</x:f>
      </x:c>
      <x:c r="P254" s="131" t="str">
        <x:f>IF(A254="","",IF(AND(O254&gt;0,MAX(K254-L254,0)&gt;0,N254&lt;&gt;"Paga"),ROUND(MAX(K254-L254,0)*'Parâmetros'!$B$34,2),0))</x:f>
      </x:c>
      <x:c r="Q254" s="131" t="str">
        <x:f>IF(A254="","",IF(AND(O254&gt;0,MAX(K254-L254,0)&gt;0,N254&lt;&gt;"Paga"),ROUND(MAX(K254-L254,0)*'Parâmetros'!$B$35*(O254/'Parâmetros'!$B$33),2),0))</x:f>
      </x:c>
      <x:c r="R254" s="131" t="str">
        <x:f>IF(A254="","",IF(O254&gt;0,ROUND(MAX(K254-L254,0)+P254+Q254,2),0))</x:f>
      </x:c>
      <x:c r="S254" s="131" t="str">
        <x:f>IF(A254="","",IF(OR(N254="Paga",O254&gt;0),0,ROUND(IF(K254=0,0,G254*MAX(K254-L254,0)/K254)/(1+'Parâmetros'!$C$13)^((C254-$A$5)/30),2)))</x:f>
      </x:c>
      <x:c r="T254" s="131" t="str">
        <x:f>IF(A254="","",0)</x:f>
      </x:c>
      <x:c r="U254" s="131" t="str">
        <x:f>IF(A254="","",0)</x:f>
      </x:c>
      <x:c r="V254" s="131" t="str">
        <x:f>IF(A254="","",IF(N254="Paga",0,IF(O254&gt;0,R254,S254)))</x:f>
      </x:c>
      <x:c r="W254" s="131" t="str">
        <x:f>IF(A254="","",ROUND(MAX(D254-F254,0),2))</x:f>
      </x:c>
      <x:c r="X254" s="131" t="str">
        <x:f>IF(A254="","",ROUND(SUM($G254:$G$407),2))</x:f>
      </x:c>
      <x:c r="Y254" s="131" t="str">
        <x:f>IF(A254="","",ROUND(MAX(X254-D254,0),2))</x:f>
      </x:c>
      <x:c r="Z254" s="131" t="str">
        <x:f>IF(A254="","",ROUND(SUM($V254:$V$407),2))</x:f>
      </x:c>
      <x:c r="AA254" s="131" t="str">
        <x:f>IF(A254="","",ROUND(SUM($K254:$K$407)-Z254,2))</x:f>
      </x:c>
      <x:c r="AB254" s="77"/>
      <x:c r="AC254" s="36" t="str">
        <x:f>IF(A254="","",IF(O254&gt;0,"Vencido: saldo da fatura + mora",IF(O254&lt;=0,"Vincendo: VP da parcela financeira; comissão/proteção futuras isentas","")))</x:f>
      </x:c>
    </x:row>
    <x:row r="255">
      <x:c r="A255" s="129" t="str">
        <x:f>IF(ROW()-7&lt;=Contrato!$C$16,ROW()-7,"")</x:f>
      </x:c>
      <x:c r="B255" s="129" t="str">
        <x:f>IF(A255="","",Contrato!$C$16)</x:f>
      </x:c>
      <x:c r="C255" s="130" t="str">
        <x:f>IF(A255="","",IF(AB255&lt;&gt;"",AB255,IF(Contrato!$C$14="Mensal",EDATE(Contrato!$C$13,A255-1),Contrato!$C$13+(A255-1)*IF(Contrato!$C$14="Quinzenal",14,IF(Contrato!$C$14="Semanal",7,1)))))</x:f>
      </x:c>
      <x:c r="D255" s="131" t="str">
        <x:f>IF(A255="","",W254)</x:f>
      </x:c>
      <x:c r="E255" s="131" t="str">
        <x:f>IF(A255="","",ROUND(D255*Simulador!$I$18,2))</x:f>
      </x:c>
      <x:c r="F255" s="131" t="str">
        <x:f>IF(A255="","",ROUND(MIN(D255,MAX(G255-E255,0)),2))</x:f>
      </x:c>
      <x:c r="G255" s="131" t="str">
        <x:f>IF(A255="","",IF(A255&lt;Contrato!$C$16,Contrato!$C$27,Contrato!$C$28))</x:f>
      </x:c>
      <x:c r="H255" s="131" t="str">
        <x:f>IF(A255="","",Contrato!$C$29)</x:f>
      </x:c>
      <x:c r="I255" s="131" t="str">
        <x:f>IF(A255="","",Contrato!$C$30)</x:f>
      </x:c>
      <x:c r="J255" s="131" t="str">
        <x:f>IF(A255="","",Contrato!$C$31)</x:f>
      </x:c>
      <x:c r="K255" s="131" t="str">
        <x:f>IF(A255="","",ROUND(SUM(G255:J255),2))</x:f>
      </x:c>
      <x:c r="L255" s="80"/>
      <x:c r="M255" s="77"/>
      <x:c r="N255" s="29" t="str">
        <x:f>IF(A255="","",IF(L255&gt;=K255,"Paga",IF(L255&gt;0,"Paga parcialmente",IF(C255&lt;$A$5,"Vencida","Prevista"))))</x:f>
      </x:c>
      <x:c r="O255" s="29" t="str">
        <x:f>IF(A255="","",$A$5-C255)</x:f>
      </x:c>
      <x:c r="P255" s="131" t="str">
        <x:f>IF(A255="","",IF(AND(O255&gt;0,MAX(K255-L255,0)&gt;0,N255&lt;&gt;"Paga"),ROUND(MAX(K255-L255,0)*'Parâmetros'!$B$34,2),0))</x:f>
      </x:c>
      <x:c r="Q255" s="131" t="str">
        <x:f>IF(A255="","",IF(AND(O255&gt;0,MAX(K255-L255,0)&gt;0,N255&lt;&gt;"Paga"),ROUND(MAX(K255-L255,0)*'Parâmetros'!$B$35*(O255/'Parâmetros'!$B$33),2),0))</x:f>
      </x:c>
      <x:c r="R255" s="131" t="str">
        <x:f>IF(A255="","",IF(O255&gt;0,ROUND(MAX(K255-L255,0)+P255+Q255,2),0))</x:f>
      </x:c>
      <x:c r="S255" s="131" t="str">
        <x:f>IF(A255="","",IF(OR(N255="Paga",O255&gt;0),0,ROUND(IF(K255=0,0,G255*MAX(K255-L255,0)/K255)/(1+'Parâmetros'!$C$13)^((C255-$A$5)/30),2)))</x:f>
      </x:c>
      <x:c r="T255" s="131" t="str">
        <x:f>IF(A255="","",0)</x:f>
      </x:c>
      <x:c r="U255" s="131" t="str">
        <x:f>IF(A255="","",0)</x:f>
      </x:c>
      <x:c r="V255" s="131" t="str">
        <x:f>IF(A255="","",IF(N255="Paga",0,IF(O255&gt;0,R255,S255)))</x:f>
      </x:c>
      <x:c r="W255" s="131" t="str">
        <x:f>IF(A255="","",ROUND(MAX(D255-F255,0),2))</x:f>
      </x:c>
      <x:c r="X255" s="131" t="str">
        <x:f>IF(A255="","",ROUND(SUM($G255:$G$407),2))</x:f>
      </x:c>
      <x:c r="Y255" s="131" t="str">
        <x:f>IF(A255="","",ROUND(MAX(X255-D255,0),2))</x:f>
      </x:c>
      <x:c r="Z255" s="131" t="str">
        <x:f>IF(A255="","",ROUND(SUM($V255:$V$407),2))</x:f>
      </x:c>
      <x:c r="AA255" s="131" t="str">
        <x:f>IF(A255="","",ROUND(SUM($K255:$K$407)-Z255,2))</x:f>
      </x:c>
      <x:c r="AB255" s="77"/>
      <x:c r="AC255" s="36" t="str">
        <x:f>IF(A255="","",IF(O255&gt;0,"Vencido: saldo da fatura + mora",IF(O255&lt;=0,"Vincendo: VP da parcela financeira; comissão/proteção futuras isentas","")))</x:f>
      </x:c>
    </x:row>
    <x:row r="256">
      <x:c r="A256" s="129" t="str">
        <x:f>IF(ROW()-7&lt;=Contrato!$C$16,ROW()-7,"")</x:f>
      </x:c>
      <x:c r="B256" s="129" t="str">
        <x:f>IF(A256="","",Contrato!$C$16)</x:f>
      </x:c>
      <x:c r="C256" s="130" t="str">
        <x:f>IF(A256="","",IF(AB256&lt;&gt;"",AB256,IF(Contrato!$C$14="Mensal",EDATE(Contrato!$C$13,A256-1),Contrato!$C$13+(A256-1)*IF(Contrato!$C$14="Quinzenal",14,IF(Contrato!$C$14="Semanal",7,1)))))</x:f>
      </x:c>
      <x:c r="D256" s="131" t="str">
        <x:f>IF(A256="","",W255)</x:f>
      </x:c>
      <x:c r="E256" s="131" t="str">
        <x:f>IF(A256="","",ROUND(D256*Simulador!$I$18,2))</x:f>
      </x:c>
      <x:c r="F256" s="131" t="str">
        <x:f>IF(A256="","",ROUND(MIN(D256,MAX(G256-E256,0)),2))</x:f>
      </x:c>
      <x:c r="G256" s="131" t="str">
        <x:f>IF(A256="","",IF(A256&lt;Contrato!$C$16,Contrato!$C$27,Contrato!$C$28))</x:f>
      </x:c>
      <x:c r="H256" s="131" t="str">
        <x:f>IF(A256="","",Contrato!$C$29)</x:f>
      </x:c>
      <x:c r="I256" s="131" t="str">
        <x:f>IF(A256="","",Contrato!$C$30)</x:f>
      </x:c>
      <x:c r="J256" s="131" t="str">
        <x:f>IF(A256="","",Contrato!$C$31)</x:f>
      </x:c>
      <x:c r="K256" s="131" t="str">
        <x:f>IF(A256="","",ROUND(SUM(G256:J256),2))</x:f>
      </x:c>
      <x:c r="L256" s="80"/>
      <x:c r="M256" s="77"/>
      <x:c r="N256" s="29" t="str">
        <x:f>IF(A256="","",IF(L256&gt;=K256,"Paga",IF(L256&gt;0,"Paga parcialmente",IF(C256&lt;$A$5,"Vencida","Prevista"))))</x:f>
      </x:c>
      <x:c r="O256" s="29" t="str">
        <x:f>IF(A256="","",$A$5-C256)</x:f>
      </x:c>
      <x:c r="P256" s="131" t="str">
        <x:f>IF(A256="","",IF(AND(O256&gt;0,MAX(K256-L256,0)&gt;0,N256&lt;&gt;"Paga"),ROUND(MAX(K256-L256,0)*'Parâmetros'!$B$34,2),0))</x:f>
      </x:c>
      <x:c r="Q256" s="131" t="str">
        <x:f>IF(A256="","",IF(AND(O256&gt;0,MAX(K256-L256,0)&gt;0,N256&lt;&gt;"Paga"),ROUND(MAX(K256-L256,0)*'Parâmetros'!$B$35*(O256/'Parâmetros'!$B$33),2),0))</x:f>
      </x:c>
      <x:c r="R256" s="131" t="str">
        <x:f>IF(A256="","",IF(O256&gt;0,ROUND(MAX(K256-L256,0)+P256+Q256,2),0))</x:f>
      </x:c>
      <x:c r="S256" s="131" t="str">
        <x:f>IF(A256="","",IF(OR(N256="Paga",O256&gt;0),0,ROUND(IF(K256=0,0,G256*MAX(K256-L256,0)/K256)/(1+'Parâmetros'!$C$13)^((C256-$A$5)/30),2)))</x:f>
      </x:c>
      <x:c r="T256" s="131" t="str">
        <x:f>IF(A256="","",0)</x:f>
      </x:c>
      <x:c r="U256" s="131" t="str">
        <x:f>IF(A256="","",0)</x:f>
      </x:c>
      <x:c r="V256" s="131" t="str">
        <x:f>IF(A256="","",IF(N256="Paga",0,IF(O256&gt;0,R256,S256)))</x:f>
      </x:c>
      <x:c r="W256" s="131" t="str">
        <x:f>IF(A256="","",ROUND(MAX(D256-F256,0),2))</x:f>
      </x:c>
      <x:c r="X256" s="131" t="str">
        <x:f>IF(A256="","",ROUND(SUM($G256:$G$407),2))</x:f>
      </x:c>
      <x:c r="Y256" s="131" t="str">
        <x:f>IF(A256="","",ROUND(MAX(X256-D256,0),2))</x:f>
      </x:c>
      <x:c r="Z256" s="131" t="str">
        <x:f>IF(A256="","",ROUND(SUM($V256:$V$407),2))</x:f>
      </x:c>
      <x:c r="AA256" s="131" t="str">
        <x:f>IF(A256="","",ROUND(SUM($K256:$K$407)-Z256,2))</x:f>
      </x:c>
      <x:c r="AB256" s="77"/>
      <x:c r="AC256" s="36" t="str">
        <x:f>IF(A256="","",IF(O256&gt;0,"Vencido: saldo da fatura + mora",IF(O256&lt;=0,"Vincendo: VP da parcela financeira; comissão/proteção futuras isentas","")))</x:f>
      </x:c>
    </x:row>
    <x:row r="257">
      <x:c r="A257" s="129" t="str">
        <x:f>IF(ROW()-7&lt;=Contrato!$C$16,ROW()-7,"")</x:f>
      </x:c>
      <x:c r="B257" s="129" t="str">
        <x:f>IF(A257="","",Contrato!$C$16)</x:f>
      </x:c>
      <x:c r="C257" s="130" t="str">
        <x:f>IF(A257="","",IF(AB257&lt;&gt;"",AB257,IF(Contrato!$C$14="Mensal",EDATE(Contrato!$C$13,A257-1),Contrato!$C$13+(A257-1)*IF(Contrato!$C$14="Quinzenal",14,IF(Contrato!$C$14="Semanal",7,1)))))</x:f>
      </x:c>
      <x:c r="D257" s="131" t="str">
        <x:f>IF(A257="","",W256)</x:f>
      </x:c>
      <x:c r="E257" s="131" t="str">
        <x:f>IF(A257="","",ROUND(D257*Simulador!$I$18,2))</x:f>
      </x:c>
      <x:c r="F257" s="131" t="str">
        <x:f>IF(A257="","",ROUND(MIN(D257,MAX(G257-E257,0)),2))</x:f>
      </x:c>
      <x:c r="G257" s="131" t="str">
        <x:f>IF(A257="","",IF(A257&lt;Contrato!$C$16,Contrato!$C$27,Contrato!$C$28))</x:f>
      </x:c>
      <x:c r="H257" s="131" t="str">
        <x:f>IF(A257="","",Contrato!$C$29)</x:f>
      </x:c>
      <x:c r="I257" s="131" t="str">
        <x:f>IF(A257="","",Contrato!$C$30)</x:f>
      </x:c>
      <x:c r="J257" s="131" t="str">
        <x:f>IF(A257="","",Contrato!$C$31)</x:f>
      </x:c>
      <x:c r="K257" s="131" t="str">
        <x:f>IF(A257="","",ROUND(SUM(G257:J257),2))</x:f>
      </x:c>
      <x:c r="L257" s="80"/>
      <x:c r="M257" s="77"/>
      <x:c r="N257" s="29" t="str">
        <x:f>IF(A257="","",IF(L257&gt;=K257,"Paga",IF(L257&gt;0,"Paga parcialmente",IF(C257&lt;$A$5,"Vencida","Prevista"))))</x:f>
      </x:c>
      <x:c r="O257" s="29" t="str">
        <x:f>IF(A257="","",$A$5-C257)</x:f>
      </x:c>
      <x:c r="P257" s="131" t="str">
        <x:f>IF(A257="","",IF(AND(O257&gt;0,MAX(K257-L257,0)&gt;0,N257&lt;&gt;"Paga"),ROUND(MAX(K257-L257,0)*'Parâmetros'!$B$34,2),0))</x:f>
      </x:c>
      <x:c r="Q257" s="131" t="str">
        <x:f>IF(A257="","",IF(AND(O257&gt;0,MAX(K257-L257,0)&gt;0,N257&lt;&gt;"Paga"),ROUND(MAX(K257-L257,0)*'Parâmetros'!$B$35*(O257/'Parâmetros'!$B$33),2),0))</x:f>
      </x:c>
      <x:c r="R257" s="131" t="str">
        <x:f>IF(A257="","",IF(O257&gt;0,ROUND(MAX(K257-L257,0)+P257+Q257,2),0))</x:f>
      </x:c>
      <x:c r="S257" s="131" t="str">
        <x:f>IF(A257="","",IF(OR(N257="Paga",O257&gt;0),0,ROUND(IF(K257=0,0,G257*MAX(K257-L257,0)/K257)/(1+'Parâmetros'!$C$13)^((C257-$A$5)/30),2)))</x:f>
      </x:c>
      <x:c r="T257" s="131" t="str">
        <x:f>IF(A257="","",0)</x:f>
      </x:c>
      <x:c r="U257" s="131" t="str">
        <x:f>IF(A257="","",0)</x:f>
      </x:c>
      <x:c r="V257" s="131" t="str">
        <x:f>IF(A257="","",IF(N257="Paga",0,IF(O257&gt;0,R257,S257)))</x:f>
      </x:c>
      <x:c r="W257" s="131" t="str">
        <x:f>IF(A257="","",ROUND(MAX(D257-F257,0),2))</x:f>
      </x:c>
      <x:c r="X257" s="131" t="str">
        <x:f>IF(A257="","",ROUND(SUM($G257:$G$407),2))</x:f>
      </x:c>
      <x:c r="Y257" s="131" t="str">
        <x:f>IF(A257="","",ROUND(MAX(X257-D257,0),2))</x:f>
      </x:c>
      <x:c r="Z257" s="131" t="str">
        <x:f>IF(A257="","",ROUND(SUM($V257:$V$407),2))</x:f>
      </x:c>
      <x:c r="AA257" s="131" t="str">
        <x:f>IF(A257="","",ROUND(SUM($K257:$K$407)-Z257,2))</x:f>
      </x:c>
      <x:c r="AB257" s="77"/>
      <x:c r="AC257" s="36" t="str">
        <x:f>IF(A257="","",IF(O257&gt;0,"Vencido: saldo da fatura + mora",IF(O257&lt;=0,"Vincendo: VP da parcela financeira; comissão/proteção futuras isentas","")))</x:f>
      </x:c>
    </x:row>
    <x:row r="258">
      <x:c r="A258" s="129" t="str">
        <x:f>IF(ROW()-7&lt;=Contrato!$C$16,ROW()-7,"")</x:f>
      </x:c>
      <x:c r="B258" s="129" t="str">
        <x:f>IF(A258="","",Contrato!$C$16)</x:f>
      </x:c>
      <x:c r="C258" s="130" t="str">
        <x:f>IF(A258="","",IF(AB258&lt;&gt;"",AB258,IF(Contrato!$C$14="Mensal",EDATE(Contrato!$C$13,A258-1),Contrato!$C$13+(A258-1)*IF(Contrato!$C$14="Quinzenal",14,IF(Contrato!$C$14="Semanal",7,1)))))</x:f>
      </x:c>
      <x:c r="D258" s="131" t="str">
        <x:f>IF(A258="","",W257)</x:f>
      </x:c>
      <x:c r="E258" s="131" t="str">
        <x:f>IF(A258="","",ROUND(D258*Simulador!$I$18,2))</x:f>
      </x:c>
      <x:c r="F258" s="131" t="str">
        <x:f>IF(A258="","",ROUND(MIN(D258,MAX(G258-E258,0)),2))</x:f>
      </x:c>
      <x:c r="G258" s="131" t="str">
        <x:f>IF(A258="","",IF(A258&lt;Contrato!$C$16,Contrato!$C$27,Contrato!$C$28))</x:f>
      </x:c>
      <x:c r="H258" s="131" t="str">
        <x:f>IF(A258="","",Contrato!$C$29)</x:f>
      </x:c>
      <x:c r="I258" s="131" t="str">
        <x:f>IF(A258="","",Contrato!$C$30)</x:f>
      </x:c>
      <x:c r="J258" s="131" t="str">
        <x:f>IF(A258="","",Contrato!$C$31)</x:f>
      </x:c>
      <x:c r="K258" s="131" t="str">
        <x:f>IF(A258="","",ROUND(SUM(G258:J258),2))</x:f>
      </x:c>
      <x:c r="L258" s="80"/>
      <x:c r="M258" s="77"/>
      <x:c r="N258" s="29" t="str">
        <x:f>IF(A258="","",IF(L258&gt;=K258,"Paga",IF(L258&gt;0,"Paga parcialmente",IF(C258&lt;$A$5,"Vencida","Prevista"))))</x:f>
      </x:c>
      <x:c r="O258" s="29" t="str">
        <x:f>IF(A258="","",$A$5-C258)</x:f>
      </x:c>
      <x:c r="P258" s="131" t="str">
        <x:f>IF(A258="","",IF(AND(O258&gt;0,MAX(K258-L258,0)&gt;0,N258&lt;&gt;"Paga"),ROUND(MAX(K258-L258,0)*'Parâmetros'!$B$34,2),0))</x:f>
      </x:c>
      <x:c r="Q258" s="131" t="str">
        <x:f>IF(A258="","",IF(AND(O258&gt;0,MAX(K258-L258,0)&gt;0,N258&lt;&gt;"Paga"),ROUND(MAX(K258-L258,0)*'Parâmetros'!$B$35*(O258/'Parâmetros'!$B$33),2),0))</x:f>
      </x:c>
      <x:c r="R258" s="131" t="str">
        <x:f>IF(A258="","",IF(O258&gt;0,ROUND(MAX(K258-L258,0)+P258+Q258,2),0))</x:f>
      </x:c>
      <x:c r="S258" s="131" t="str">
        <x:f>IF(A258="","",IF(OR(N258="Paga",O258&gt;0),0,ROUND(IF(K258=0,0,G258*MAX(K258-L258,0)/K258)/(1+'Parâmetros'!$C$13)^((C258-$A$5)/30),2)))</x:f>
      </x:c>
      <x:c r="T258" s="131" t="str">
        <x:f>IF(A258="","",0)</x:f>
      </x:c>
      <x:c r="U258" s="131" t="str">
        <x:f>IF(A258="","",0)</x:f>
      </x:c>
      <x:c r="V258" s="131" t="str">
        <x:f>IF(A258="","",IF(N258="Paga",0,IF(O258&gt;0,R258,S258)))</x:f>
      </x:c>
      <x:c r="W258" s="131" t="str">
        <x:f>IF(A258="","",ROUND(MAX(D258-F258,0),2))</x:f>
      </x:c>
      <x:c r="X258" s="131" t="str">
        <x:f>IF(A258="","",ROUND(SUM($G258:$G$407),2))</x:f>
      </x:c>
      <x:c r="Y258" s="131" t="str">
        <x:f>IF(A258="","",ROUND(MAX(X258-D258,0),2))</x:f>
      </x:c>
      <x:c r="Z258" s="131" t="str">
        <x:f>IF(A258="","",ROUND(SUM($V258:$V$407),2))</x:f>
      </x:c>
      <x:c r="AA258" s="131" t="str">
        <x:f>IF(A258="","",ROUND(SUM($K258:$K$407)-Z258,2))</x:f>
      </x:c>
      <x:c r="AB258" s="77"/>
      <x:c r="AC258" s="36" t="str">
        <x:f>IF(A258="","",IF(O258&gt;0,"Vencido: saldo da fatura + mora",IF(O258&lt;=0,"Vincendo: VP da parcela financeira; comissão/proteção futuras isentas","")))</x:f>
      </x:c>
    </x:row>
    <x:row r="259">
      <x:c r="A259" s="129" t="str">
        <x:f>IF(ROW()-7&lt;=Contrato!$C$16,ROW()-7,"")</x:f>
      </x:c>
      <x:c r="B259" s="129" t="str">
        <x:f>IF(A259="","",Contrato!$C$16)</x:f>
      </x:c>
      <x:c r="C259" s="130" t="str">
        <x:f>IF(A259="","",IF(AB259&lt;&gt;"",AB259,IF(Contrato!$C$14="Mensal",EDATE(Contrato!$C$13,A259-1),Contrato!$C$13+(A259-1)*IF(Contrato!$C$14="Quinzenal",14,IF(Contrato!$C$14="Semanal",7,1)))))</x:f>
      </x:c>
      <x:c r="D259" s="131" t="str">
        <x:f>IF(A259="","",W258)</x:f>
      </x:c>
      <x:c r="E259" s="131" t="str">
        <x:f>IF(A259="","",ROUND(D259*Simulador!$I$18,2))</x:f>
      </x:c>
      <x:c r="F259" s="131" t="str">
        <x:f>IF(A259="","",ROUND(MIN(D259,MAX(G259-E259,0)),2))</x:f>
      </x:c>
      <x:c r="G259" s="131" t="str">
        <x:f>IF(A259="","",IF(A259&lt;Contrato!$C$16,Contrato!$C$27,Contrato!$C$28))</x:f>
      </x:c>
      <x:c r="H259" s="131" t="str">
        <x:f>IF(A259="","",Contrato!$C$29)</x:f>
      </x:c>
      <x:c r="I259" s="131" t="str">
        <x:f>IF(A259="","",Contrato!$C$30)</x:f>
      </x:c>
      <x:c r="J259" s="131" t="str">
        <x:f>IF(A259="","",Contrato!$C$31)</x:f>
      </x:c>
      <x:c r="K259" s="131" t="str">
        <x:f>IF(A259="","",ROUND(SUM(G259:J259),2))</x:f>
      </x:c>
      <x:c r="L259" s="80"/>
      <x:c r="M259" s="77"/>
      <x:c r="N259" s="29" t="str">
        <x:f>IF(A259="","",IF(L259&gt;=K259,"Paga",IF(L259&gt;0,"Paga parcialmente",IF(C259&lt;$A$5,"Vencida","Prevista"))))</x:f>
      </x:c>
      <x:c r="O259" s="29" t="str">
        <x:f>IF(A259="","",$A$5-C259)</x:f>
      </x:c>
      <x:c r="P259" s="131" t="str">
        <x:f>IF(A259="","",IF(AND(O259&gt;0,MAX(K259-L259,0)&gt;0,N259&lt;&gt;"Paga"),ROUND(MAX(K259-L259,0)*'Parâmetros'!$B$34,2),0))</x:f>
      </x:c>
      <x:c r="Q259" s="131" t="str">
        <x:f>IF(A259="","",IF(AND(O259&gt;0,MAX(K259-L259,0)&gt;0,N259&lt;&gt;"Paga"),ROUND(MAX(K259-L259,0)*'Parâmetros'!$B$35*(O259/'Parâmetros'!$B$33),2),0))</x:f>
      </x:c>
      <x:c r="R259" s="131" t="str">
        <x:f>IF(A259="","",IF(O259&gt;0,ROUND(MAX(K259-L259,0)+P259+Q259,2),0))</x:f>
      </x:c>
      <x:c r="S259" s="131" t="str">
        <x:f>IF(A259="","",IF(OR(N259="Paga",O259&gt;0),0,ROUND(IF(K259=0,0,G259*MAX(K259-L259,0)/K259)/(1+'Parâmetros'!$C$13)^((C259-$A$5)/30),2)))</x:f>
      </x:c>
      <x:c r="T259" s="131" t="str">
        <x:f>IF(A259="","",0)</x:f>
      </x:c>
      <x:c r="U259" s="131" t="str">
        <x:f>IF(A259="","",0)</x:f>
      </x:c>
      <x:c r="V259" s="131" t="str">
        <x:f>IF(A259="","",IF(N259="Paga",0,IF(O259&gt;0,R259,S259)))</x:f>
      </x:c>
      <x:c r="W259" s="131" t="str">
        <x:f>IF(A259="","",ROUND(MAX(D259-F259,0),2))</x:f>
      </x:c>
      <x:c r="X259" s="131" t="str">
        <x:f>IF(A259="","",ROUND(SUM($G259:$G$407),2))</x:f>
      </x:c>
      <x:c r="Y259" s="131" t="str">
        <x:f>IF(A259="","",ROUND(MAX(X259-D259,0),2))</x:f>
      </x:c>
      <x:c r="Z259" s="131" t="str">
        <x:f>IF(A259="","",ROUND(SUM($V259:$V$407),2))</x:f>
      </x:c>
      <x:c r="AA259" s="131" t="str">
        <x:f>IF(A259="","",ROUND(SUM($K259:$K$407)-Z259,2))</x:f>
      </x:c>
      <x:c r="AB259" s="77"/>
      <x:c r="AC259" s="36" t="str">
        <x:f>IF(A259="","",IF(O259&gt;0,"Vencido: saldo da fatura + mora",IF(O259&lt;=0,"Vincendo: VP da parcela financeira; comissão/proteção futuras isentas","")))</x:f>
      </x:c>
    </x:row>
    <x:row r="260">
      <x:c r="A260" s="129" t="str">
        <x:f>IF(ROW()-7&lt;=Contrato!$C$16,ROW()-7,"")</x:f>
      </x:c>
      <x:c r="B260" s="129" t="str">
        <x:f>IF(A260="","",Contrato!$C$16)</x:f>
      </x:c>
      <x:c r="C260" s="130" t="str">
        <x:f>IF(A260="","",IF(AB260&lt;&gt;"",AB260,IF(Contrato!$C$14="Mensal",EDATE(Contrato!$C$13,A260-1),Contrato!$C$13+(A260-1)*IF(Contrato!$C$14="Quinzenal",14,IF(Contrato!$C$14="Semanal",7,1)))))</x:f>
      </x:c>
      <x:c r="D260" s="131" t="str">
        <x:f>IF(A260="","",W259)</x:f>
      </x:c>
      <x:c r="E260" s="131" t="str">
        <x:f>IF(A260="","",ROUND(D260*Simulador!$I$18,2))</x:f>
      </x:c>
      <x:c r="F260" s="131" t="str">
        <x:f>IF(A260="","",ROUND(MIN(D260,MAX(G260-E260,0)),2))</x:f>
      </x:c>
      <x:c r="G260" s="131" t="str">
        <x:f>IF(A260="","",IF(A260&lt;Contrato!$C$16,Contrato!$C$27,Contrato!$C$28))</x:f>
      </x:c>
      <x:c r="H260" s="131" t="str">
        <x:f>IF(A260="","",Contrato!$C$29)</x:f>
      </x:c>
      <x:c r="I260" s="131" t="str">
        <x:f>IF(A260="","",Contrato!$C$30)</x:f>
      </x:c>
      <x:c r="J260" s="131" t="str">
        <x:f>IF(A260="","",Contrato!$C$31)</x:f>
      </x:c>
      <x:c r="K260" s="131" t="str">
        <x:f>IF(A260="","",ROUND(SUM(G260:J260),2))</x:f>
      </x:c>
      <x:c r="L260" s="80"/>
      <x:c r="M260" s="77"/>
      <x:c r="N260" s="29" t="str">
        <x:f>IF(A260="","",IF(L260&gt;=K260,"Paga",IF(L260&gt;0,"Paga parcialmente",IF(C260&lt;$A$5,"Vencida","Prevista"))))</x:f>
      </x:c>
      <x:c r="O260" s="29" t="str">
        <x:f>IF(A260="","",$A$5-C260)</x:f>
      </x:c>
      <x:c r="P260" s="131" t="str">
        <x:f>IF(A260="","",IF(AND(O260&gt;0,MAX(K260-L260,0)&gt;0,N260&lt;&gt;"Paga"),ROUND(MAX(K260-L260,0)*'Parâmetros'!$B$34,2),0))</x:f>
      </x:c>
      <x:c r="Q260" s="131" t="str">
        <x:f>IF(A260="","",IF(AND(O260&gt;0,MAX(K260-L260,0)&gt;0,N260&lt;&gt;"Paga"),ROUND(MAX(K260-L260,0)*'Parâmetros'!$B$35*(O260/'Parâmetros'!$B$33),2),0))</x:f>
      </x:c>
      <x:c r="R260" s="131" t="str">
        <x:f>IF(A260="","",IF(O260&gt;0,ROUND(MAX(K260-L260,0)+P260+Q260,2),0))</x:f>
      </x:c>
      <x:c r="S260" s="131" t="str">
        <x:f>IF(A260="","",IF(OR(N260="Paga",O260&gt;0),0,ROUND(IF(K260=0,0,G260*MAX(K260-L260,0)/K260)/(1+'Parâmetros'!$C$13)^((C260-$A$5)/30),2)))</x:f>
      </x:c>
      <x:c r="T260" s="131" t="str">
        <x:f>IF(A260="","",0)</x:f>
      </x:c>
      <x:c r="U260" s="131" t="str">
        <x:f>IF(A260="","",0)</x:f>
      </x:c>
      <x:c r="V260" s="131" t="str">
        <x:f>IF(A260="","",IF(N260="Paga",0,IF(O260&gt;0,R260,S260)))</x:f>
      </x:c>
      <x:c r="W260" s="131" t="str">
        <x:f>IF(A260="","",ROUND(MAX(D260-F260,0),2))</x:f>
      </x:c>
      <x:c r="X260" s="131" t="str">
        <x:f>IF(A260="","",ROUND(SUM($G260:$G$407),2))</x:f>
      </x:c>
      <x:c r="Y260" s="131" t="str">
        <x:f>IF(A260="","",ROUND(MAX(X260-D260,0),2))</x:f>
      </x:c>
      <x:c r="Z260" s="131" t="str">
        <x:f>IF(A260="","",ROUND(SUM($V260:$V$407),2))</x:f>
      </x:c>
      <x:c r="AA260" s="131" t="str">
        <x:f>IF(A260="","",ROUND(SUM($K260:$K$407)-Z260,2))</x:f>
      </x:c>
      <x:c r="AB260" s="77"/>
      <x:c r="AC260" s="36" t="str">
        <x:f>IF(A260="","",IF(O260&gt;0,"Vencido: saldo da fatura + mora",IF(O260&lt;=0,"Vincendo: VP da parcela financeira; comissão/proteção futuras isentas","")))</x:f>
      </x:c>
    </x:row>
    <x:row r="261">
      <x:c r="A261" s="129" t="str">
        <x:f>IF(ROW()-7&lt;=Contrato!$C$16,ROW()-7,"")</x:f>
      </x:c>
      <x:c r="B261" s="129" t="str">
        <x:f>IF(A261="","",Contrato!$C$16)</x:f>
      </x:c>
      <x:c r="C261" s="130" t="str">
        <x:f>IF(A261="","",IF(AB261&lt;&gt;"",AB261,IF(Contrato!$C$14="Mensal",EDATE(Contrato!$C$13,A261-1),Contrato!$C$13+(A261-1)*IF(Contrato!$C$14="Quinzenal",14,IF(Contrato!$C$14="Semanal",7,1)))))</x:f>
      </x:c>
      <x:c r="D261" s="131" t="str">
        <x:f>IF(A261="","",W260)</x:f>
      </x:c>
      <x:c r="E261" s="131" t="str">
        <x:f>IF(A261="","",ROUND(D261*Simulador!$I$18,2))</x:f>
      </x:c>
      <x:c r="F261" s="131" t="str">
        <x:f>IF(A261="","",ROUND(MIN(D261,MAX(G261-E261,0)),2))</x:f>
      </x:c>
      <x:c r="G261" s="131" t="str">
        <x:f>IF(A261="","",IF(A261&lt;Contrato!$C$16,Contrato!$C$27,Contrato!$C$28))</x:f>
      </x:c>
      <x:c r="H261" s="131" t="str">
        <x:f>IF(A261="","",Contrato!$C$29)</x:f>
      </x:c>
      <x:c r="I261" s="131" t="str">
        <x:f>IF(A261="","",Contrato!$C$30)</x:f>
      </x:c>
      <x:c r="J261" s="131" t="str">
        <x:f>IF(A261="","",Contrato!$C$31)</x:f>
      </x:c>
      <x:c r="K261" s="131" t="str">
        <x:f>IF(A261="","",ROUND(SUM(G261:J261),2))</x:f>
      </x:c>
      <x:c r="L261" s="80"/>
      <x:c r="M261" s="77"/>
      <x:c r="N261" s="29" t="str">
        <x:f>IF(A261="","",IF(L261&gt;=K261,"Paga",IF(L261&gt;0,"Paga parcialmente",IF(C261&lt;$A$5,"Vencida","Prevista"))))</x:f>
      </x:c>
      <x:c r="O261" s="29" t="str">
        <x:f>IF(A261="","",$A$5-C261)</x:f>
      </x:c>
      <x:c r="P261" s="131" t="str">
        <x:f>IF(A261="","",IF(AND(O261&gt;0,MAX(K261-L261,0)&gt;0,N261&lt;&gt;"Paga"),ROUND(MAX(K261-L261,0)*'Parâmetros'!$B$34,2),0))</x:f>
      </x:c>
      <x:c r="Q261" s="131" t="str">
        <x:f>IF(A261="","",IF(AND(O261&gt;0,MAX(K261-L261,0)&gt;0,N261&lt;&gt;"Paga"),ROUND(MAX(K261-L261,0)*'Parâmetros'!$B$35*(O261/'Parâmetros'!$B$33),2),0))</x:f>
      </x:c>
      <x:c r="R261" s="131" t="str">
        <x:f>IF(A261="","",IF(O261&gt;0,ROUND(MAX(K261-L261,0)+P261+Q261,2),0))</x:f>
      </x:c>
      <x:c r="S261" s="131" t="str">
        <x:f>IF(A261="","",IF(OR(N261="Paga",O261&gt;0),0,ROUND(IF(K261=0,0,G261*MAX(K261-L261,0)/K261)/(1+'Parâmetros'!$C$13)^((C261-$A$5)/30),2)))</x:f>
      </x:c>
      <x:c r="T261" s="131" t="str">
        <x:f>IF(A261="","",0)</x:f>
      </x:c>
      <x:c r="U261" s="131" t="str">
        <x:f>IF(A261="","",0)</x:f>
      </x:c>
      <x:c r="V261" s="131" t="str">
        <x:f>IF(A261="","",IF(N261="Paga",0,IF(O261&gt;0,R261,S261)))</x:f>
      </x:c>
      <x:c r="W261" s="131" t="str">
        <x:f>IF(A261="","",ROUND(MAX(D261-F261,0),2))</x:f>
      </x:c>
      <x:c r="X261" s="131" t="str">
        <x:f>IF(A261="","",ROUND(SUM($G261:$G$407),2))</x:f>
      </x:c>
      <x:c r="Y261" s="131" t="str">
        <x:f>IF(A261="","",ROUND(MAX(X261-D261,0),2))</x:f>
      </x:c>
      <x:c r="Z261" s="131" t="str">
        <x:f>IF(A261="","",ROUND(SUM($V261:$V$407),2))</x:f>
      </x:c>
      <x:c r="AA261" s="131" t="str">
        <x:f>IF(A261="","",ROUND(SUM($K261:$K$407)-Z261,2))</x:f>
      </x:c>
      <x:c r="AB261" s="77"/>
      <x:c r="AC261" s="36" t="str">
        <x:f>IF(A261="","",IF(O261&gt;0,"Vencido: saldo da fatura + mora",IF(O261&lt;=0,"Vincendo: VP da parcela financeira; comissão/proteção futuras isentas","")))</x:f>
      </x:c>
    </x:row>
    <x:row r="262">
      <x:c r="A262" s="129" t="str">
        <x:f>IF(ROW()-7&lt;=Contrato!$C$16,ROW()-7,"")</x:f>
      </x:c>
      <x:c r="B262" s="129" t="str">
        <x:f>IF(A262="","",Contrato!$C$16)</x:f>
      </x:c>
      <x:c r="C262" s="130" t="str">
        <x:f>IF(A262="","",IF(AB262&lt;&gt;"",AB262,IF(Contrato!$C$14="Mensal",EDATE(Contrato!$C$13,A262-1),Contrato!$C$13+(A262-1)*IF(Contrato!$C$14="Quinzenal",14,IF(Contrato!$C$14="Semanal",7,1)))))</x:f>
      </x:c>
      <x:c r="D262" s="131" t="str">
        <x:f>IF(A262="","",W261)</x:f>
      </x:c>
      <x:c r="E262" s="131" t="str">
        <x:f>IF(A262="","",ROUND(D262*Simulador!$I$18,2))</x:f>
      </x:c>
      <x:c r="F262" s="131" t="str">
        <x:f>IF(A262="","",ROUND(MIN(D262,MAX(G262-E262,0)),2))</x:f>
      </x:c>
      <x:c r="G262" s="131" t="str">
        <x:f>IF(A262="","",IF(A262&lt;Contrato!$C$16,Contrato!$C$27,Contrato!$C$28))</x:f>
      </x:c>
      <x:c r="H262" s="131" t="str">
        <x:f>IF(A262="","",Contrato!$C$29)</x:f>
      </x:c>
      <x:c r="I262" s="131" t="str">
        <x:f>IF(A262="","",Contrato!$C$30)</x:f>
      </x:c>
      <x:c r="J262" s="131" t="str">
        <x:f>IF(A262="","",Contrato!$C$31)</x:f>
      </x:c>
      <x:c r="K262" s="131" t="str">
        <x:f>IF(A262="","",ROUND(SUM(G262:J262),2))</x:f>
      </x:c>
      <x:c r="L262" s="80"/>
      <x:c r="M262" s="77"/>
      <x:c r="N262" s="29" t="str">
        <x:f>IF(A262="","",IF(L262&gt;=K262,"Paga",IF(L262&gt;0,"Paga parcialmente",IF(C262&lt;$A$5,"Vencida","Prevista"))))</x:f>
      </x:c>
      <x:c r="O262" s="29" t="str">
        <x:f>IF(A262="","",$A$5-C262)</x:f>
      </x:c>
      <x:c r="P262" s="131" t="str">
        <x:f>IF(A262="","",IF(AND(O262&gt;0,MAX(K262-L262,0)&gt;0,N262&lt;&gt;"Paga"),ROUND(MAX(K262-L262,0)*'Parâmetros'!$B$34,2),0))</x:f>
      </x:c>
      <x:c r="Q262" s="131" t="str">
        <x:f>IF(A262="","",IF(AND(O262&gt;0,MAX(K262-L262,0)&gt;0,N262&lt;&gt;"Paga"),ROUND(MAX(K262-L262,0)*'Parâmetros'!$B$35*(O262/'Parâmetros'!$B$33),2),0))</x:f>
      </x:c>
      <x:c r="R262" s="131" t="str">
        <x:f>IF(A262="","",IF(O262&gt;0,ROUND(MAX(K262-L262,0)+P262+Q262,2),0))</x:f>
      </x:c>
      <x:c r="S262" s="131" t="str">
        <x:f>IF(A262="","",IF(OR(N262="Paga",O262&gt;0),0,ROUND(IF(K262=0,0,G262*MAX(K262-L262,0)/K262)/(1+'Parâmetros'!$C$13)^((C262-$A$5)/30),2)))</x:f>
      </x:c>
      <x:c r="T262" s="131" t="str">
        <x:f>IF(A262="","",0)</x:f>
      </x:c>
      <x:c r="U262" s="131" t="str">
        <x:f>IF(A262="","",0)</x:f>
      </x:c>
      <x:c r="V262" s="131" t="str">
        <x:f>IF(A262="","",IF(N262="Paga",0,IF(O262&gt;0,R262,S262)))</x:f>
      </x:c>
      <x:c r="W262" s="131" t="str">
        <x:f>IF(A262="","",ROUND(MAX(D262-F262,0),2))</x:f>
      </x:c>
      <x:c r="X262" s="131" t="str">
        <x:f>IF(A262="","",ROUND(SUM($G262:$G$407),2))</x:f>
      </x:c>
      <x:c r="Y262" s="131" t="str">
        <x:f>IF(A262="","",ROUND(MAX(X262-D262,0),2))</x:f>
      </x:c>
      <x:c r="Z262" s="131" t="str">
        <x:f>IF(A262="","",ROUND(SUM($V262:$V$407),2))</x:f>
      </x:c>
      <x:c r="AA262" s="131" t="str">
        <x:f>IF(A262="","",ROUND(SUM($K262:$K$407)-Z262,2))</x:f>
      </x:c>
      <x:c r="AB262" s="77"/>
      <x:c r="AC262" s="36" t="str">
        <x:f>IF(A262="","",IF(O262&gt;0,"Vencido: saldo da fatura + mora",IF(O262&lt;=0,"Vincendo: VP da parcela financeira; comissão/proteção futuras isentas","")))</x:f>
      </x:c>
    </x:row>
    <x:row r="263">
      <x:c r="A263" s="129" t="str">
        <x:f>IF(ROW()-7&lt;=Contrato!$C$16,ROW()-7,"")</x:f>
      </x:c>
      <x:c r="B263" s="129" t="str">
        <x:f>IF(A263="","",Contrato!$C$16)</x:f>
      </x:c>
      <x:c r="C263" s="130" t="str">
        <x:f>IF(A263="","",IF(AB263&lt;&gt;"",AB263,IF(Contrato!$C$14="Mensal",EDATE(Contrato!$C$13,A263-1),Contrato!$C$13+(A263-1)*IF(Contrato!$C$14="Quinzenal",14,IF(Contrato!$C$14="Semanal",7,1)))))</x:f>
      </x:c>
      <x:c r="D263" s="131" t="str">
        <x:f>IF(A263="","",W262)</x:f>
      </x:c>
      <x:c r="E263" s="131" t="str">
        <x:f>IF(A263="","",ROUND(D263*Simulador!$I$18,2))</x:f>
      </x:c>
      <x:c r="F263" s="131" t="str">
        <x:f>IF(A263="","",ROUND(MIN(D263,MAX(G263-E263,0)),2))</x:f>
      </x:c>
      <x:c r="G263" s="131" t="str">
        <x:f>IF(A263="","",IF(A263&lt;Contrato!$C$16,Contrato!$C$27,Contrato!$C$28))</x:f>
      </x:c>
      <x:c r="H263" s="131" t="str">
        <x:f>IF(A263="","",Contrato!$C$29)</x:f>
      </x:c>
      <x:c r="I263" s="131" t="str">
        <x:f>IF(A263="","",Contrato!$C$30)</x:f>
      </x:c>
      <x:c r="J263" s="131" t="str">
        <x:f>IF(A263="","",Contrato!$C$31)</x:f>
      </x:c>
      <x:c r="K263" s="131" t="str">
        <x:f>IF(A263="","",ROUND(SUM(G263:J263),2))</x:f>
      </x:c>
      <x:c r="L263" s="80"/>
      <x:c r="M263" s="77"/>
      <x:c r="N263" s="29" t="str">
        <x:f>IF(A263="","",IF(L263&gt;=K263,"Paga",IF(L263&gt;0,"Paga parcialmente",IF(C263&lt;$A$5,"Vencida","Prevista"))))</x:f>
      </x:c>
      <x:c r="O263" s="29" t="str">
        <x:f>IF(A263="","",$A$5-C263)</x:f>
      </x:c>
      <x:c r="P263" s="131" t="str">
        <x:f>IF(A263="","",IF(AND(O263&gt;0,MAX(K263-L263,0)&gt;0,N263&lt;&gt;"Paga"),ROUND(MAX(K263-L263,0)*'Parâmetros'!$B$34,2),0))</x:f>
      </x:c>
      <x:c r="Q263" s="131" t="str">
        <x:f>IF(A263="","",IF(AND(O263&gt;0,MAX(K263-L263,0)&gt;0,N263&lt;&gt;"Paga"),ROUND(MAX(K263-L263,0)*'Parâmetros'!$B$35*(O263/'Parâmetros'!$B$33),2),0))</x:f>
      </x:c>
      <x:c r="R263" s="131" t="str">
        <x:f>IF(A263="","",IF(O263&gt;0,ROUND(MAX(K263-L263,0)+P263+Q263,2),0))</x:f>
      </x:c>
      <x:c r="S263" s="131" t="str">
        <x:f>IF(A263="","",IF(OR(N263="Paga",O263&gt;0),0,ROUND(IF(K263=0,0,G263*MAX(K263-L263,0)/K263)/(1+'Parâmetros'!$C$13)^((C263-$A$5)/30),2)))</x:f>
      </x:c>
      <x:c r="T263" s="131" t="str">
        <x:f>IF(A263="","",0)</x:f>
      </x:c>
      <x:c r="U263" s="131" t="str">
        <x:f>IF(A263="","",0)</x:f>
      </x:c>
      <x:c r="V263" s="131" t="str">
        <x:f>IF(A263="","",IF(N263="Paga",0,IF(O263&gt;0,R263,S263)))</x:f>
      </x:c>
      <x:c r="W263" s="131" t="str">
        <x:f>IF(A263="","",ROUND(MAX(D263-F263,0),2))</x:f>
      </x:c>
      <x:c r="X263" s="131" t="str">
        <x:f>IF(A263="","",ROUND(SUM($G263:$G$407),2))</x:f>
      </x:c>
      <x:c r="Y263" s="131" t="str">
        <x:f>IF(A263="","",ROUND(MAX(X263-D263,0),2))</x:f>
      </x:c>
      <x:c r="Z263" s="131" t="str">
        <x:f>IF(A263="","",ROUND(SUM($V263:$V$407),2))</x:f>
      </x:c>
      <x:c r="AA263" s="131" t="str">
        <x:f>IF(A263="","",ROUND(SUM($K263:$K$407)-Z263,2))</x:f>
      </x:c>
      <x:c r="AB263" s="77"/>
      <x:c r="AC263" s="36" t="str">
        <x:f>IF(A263="","",IF(O263&gt;0,"Vencido: saldo da fatura + mora",IF(O263&lt;=0,"Vincendo: VP da parcela financeira; comissão/proteção futuras isentas","")))</x:f>
      </x:c>
    </x:row>
    <x:row r="264">
      <x:c r="A264" s="129" t="str">
        <x:f>IF(ROW()-7&lt;=Contrato!$C$16,ROW()-7,"")</x:f>
      </x:c>
      <x:c r="B264" s="129" t="str">
        <x:f>IF(A264="","",Contrato!$C$16)</x:f>
      </x:c>
      <x:c r="C264" s="130" t="str">
        <x:f>IF(A264="","",IF(AB264&lt;&gt;"",AB264,IF(Contrato!$C$14="Mensal",EDATE(Contrato!$C$13,A264-1),Contrato!$C$13+(A264-1)*IF(Contrato!$C$14="Quinzenal",14,IF(Contrato!$C$14="Semanal",7,1)))))</x:f>
      </x:c>
      <x:c r="D264" s="131" t="str">
        <x:f>IF(A264="","",W263)</x:f>
      </x:c>
      <x:c r="E264" s="131" t="str">
        <x:f>IF(A264="","",ROUND(D264*Simulador!$I$18,2))</x:f>
      </x:c>
      <x:c r="F264" s="131" t="str">
        <x:f>IF(A264="","",ROUND(MIN(D264,MAX(G264-E264,0)),2))</x:f>
      </x:c>
      <x:c r="G264" s="131" t="str">
        <x:f>IF(A264="","",IF(A264&lt;Contrato!$C$16,Contrato!$C$27,Contrato!$C$28))</x:f>
      </x:c>
      <x:c r="H264" s="131" t="str">
        <x:f>IF(A264="","",Contrato!$C$29)</x:f>
      </x:c>
      <x:c r="I264" s="131" t="str">
        <x:f>IF(A264="","",Contrato!$C$30)</x:f>
      </x:c>
      <x:c r="J264" s="131" t="str">
        <x:f>IF(A264="","",Contrato!$C$31)</x:f>
      </x:c>
      <x:c r="K264" s="131" t="str">
        <x:f>IF(A264="","",ROUND(SUM(G264:J264),2))</x:f>
      </x:c>
      <x:c r="L264" s="80"/>
      <x:c r="M264" s="77"/>
      <x:c r="N264" s="29" t="str">
        <x:f>IF(A264="","",IF(L264&gt;=K264,"Paga",IF(L264&gt;0,"Paga parcialmente",IF(C264&lt;$A$5,"Vencida","Prevista"))))</x:f>
      </x:c>
      <x:c r="O264" s="29" t="str">
        <x:f>IF(A264="","",$A$5-C264)</x:f>
      </x:c>
      <x:c r="P264" s="131" t="str">
        <x:f>IF(A264="","",IF(AND(O264&gt;0,MAX(K264-L264,0)&gt;0,N264&lt;&gt;"Paga"),ROUND(MAX(K264-L264,0)*'Parâmetros'!$B$34,2),0))</x:f>
      </x:c>
      <x:c r="Q264" s="131" t="str">
        <x:f>IF(A264="","",IF(AND(O264&gt;0,MAX(K264-L264,0)&gt;0,N264&lt;&gt;"Paga"),ROUND(MAX(K264-L264,0)*'Parâmetros'!$B$35*(O264/'Parâmetros'!$B$33),2),0))</x:f>
      </x:c>
      <x:c r="R264" s="131" t="str">
        <x:f>IF(A264="","",IF(O264&gt;0,ROUND(MAX(K264-L264,0)+P264+Q264,2),0))</x:f>
      </x:c>
      <x:c r="S264" s="131" t="str">
        <x:f>IF(A264="","",IF(OR(N264="Paga",O264&gt;0),0,ROUND(IF(K264=0,0,G264*MAX(K264-L264,0)/K264)/(1+'Parâmetros'!$C$13)^((C264-$A$5)/30),2)))</x:f>
      </x:c>
      <x:c r="T264" s="131" t="str">
        <x:f>IF(A264="","",0)</x:f>
      </x:c>
      <x:c r="U264" s="131" t="str">
        <x:f>IF(A264="","",0)</x:f>
      </x:c>
      <x:c r="V264" s="131" t="str">
        <x:f>IF(A264="","",IF(N264="Paga",0,IF(O264&gt;0,R264,S264)))</x:f>
      </x:c>
      <x:c r="W264" s="131" t="str">
        <x:f>IF(A264="","",ROUND(MAX(D264-F264,0),2))</x:f>
      </x:c>
      <x:c r="X264" s="131" t="str">
        <x:f>IF(A264="","",ROUND(SUM($G264:$G$407),2))</x:f>
      </x:c>
      <x:c r="Y264" s="131" t="str">
        <x:f>IF(A264="","",ROUND(MAX(X264-D264,0),2))</x:f>
      </x:c>
      <x:c r="Z264" s="131" t="str">
        <x:f>IF(A264="","",ROUND(SUM($V264:$V$407),2))</x:f>
      </x:c>
      <x:c r="AA264" s="131" t="str">
        <x:f>IF(A264="","",ROUND(SUM($K264:$K$407)-Z264,2))</x:f>
      </x:c>
      <x:c r="AB264" s="77"/>
      <x:c r="AC264" s="36" t="str">
        <x:f>IF(A264="","",IF(O264&gt;0,"Vencido: saldo da fatura + mora",IF(O264&lt;=0,"Vincendo: VP da parcela financeira; comissão/proteção futuras isentas","")))</x:f>
      </x:c>
    </x:row>
    <x:row r="265">
      <x:c r="A265" s="129" t="str">
        <x:f>IF(ROW()-7&lt;=Contrato!$C$16,ROW()-7,"")</x:f>
      </x:c>
      <x:c r="B265" s="129" t="str">
        <x:f>IF(A265="","",Contrato!$C$16)</x:f>
      </x:c>
      <x:c r="C265" s="130" t="str">
        <x:f>IF(A265="","",IF(AB265&lt;&gt;"",AB265,IF(Contrato!$C$14="Mensal",EDATE(Contrato!$C$13,A265-1),Contrato!$C$13+(A265-1)*IF(Contrato!$C$14="Quinzenal",14,IF(Contrato!$C$14="Semanal",7,1)))))</x:f>
      </x:c>
      <x:c r="D265" s="131" t="str">
        <x:f>IF(A265="","",W264)</x:f>
      </x:c>
      <x:c r="E265" s="131" t="str">
        <x:f>IF(A265="","",ROUND(D265*Simulador!$I$18,2))</x:f>
      </x:c>
      <x:c r="F265" s="131" t="str">
        <x:f>IF(A265="","",ROUND(MIN(D265,MAX(G265-E265,0)),2))</x:f>
      </x:c>
      <x:c r="G265" s="131" t="str">
        <x:f>IF(A265="","",IF(A265&lt;Contrato!$C$16,Contrato!$C$27,Contrato!$C$28))</x:f>
      </x:c>
      <x:c r="H265" s="131" t="str">
        <x:f>IF(A265="","",Contrato!$C$29)</x:f>
      </x:c>
      <x:c r="I265" s="131" t="str">
        <x:f>IF(A265="","",Contrato!$C$30)</x:f>
      </x:c>
      <x:c r="J265" s="131" t="str">
        <x:f>IF(A265="","",Contrato!$C$31)</x:f>
      </x:c>
      <x:c r="K265" s="131" t="str">
        <x:f>IF(A265="","",ROUND(SUM(G265:J265),2))</x:f>
      </x:c>
      <x:c r="L265" s="80"/>
      <x:c r="M265" s="77"/>
      <x:c r="N265" s="29" t="str">
        <x:f>IF(A265="","",IF(L265&gt;=K265,"Paga",IF(L265&gt;0,"Paga parcialmente",IF(C265&lt;$A$5,"Vencida","Prevista"))))</x:f>
      </x:c>
      <x:c r="O265" s="29" t="str">
        <x:f>IF(A265="","",$A$5-C265)</x:f>
      </x:c>
      <x:c r="P265" s="131" t="str">
        <x:f>IF(A265="","",IF(AND(O265&gt;0,MAX(K265-L265,0)&gt;0,N265&lt;&gt;"Paga"),ROUND(MAX(K265-L265,0)*'Parâmetros'!$B$34,2),0))</x:f>
      </x:c>
      <x:c r="Q265" s="131" t="str">
        <x:f>IF(A265="","",IF(AND(O265&gt;0,MAX(K265-L265,0)&gt;0,N265&lt;&gt;"Paga"),ROUND(MAX(K265-L265,0)*'Parâmetros'!$B$35*(O265/'Parâmetros'!$B$33),2),0))</x:f>
      </x:c>
      <x:c r="R265" s="131" t="str">
        <x:f>IF(A265="","",IF(O265&gt;0,ROUND(MAX(K265-L265,0)+P265+Q265,2),0))</x:f>
      </x:c>
      <x:c r="S265" s="131" t="str">
        <x:f>IF(A265="","",IF(OR(N265="Paga",O265&gt;0),0,ROUND(IF(K265=0,0,G265*MAX(K265-L265,0)/K265)/(1+'Parâmetros'!$C$13)^((C265-$A$5)/30),2)))</x:f>
      </x:c>
      <x:c r="T265" s="131" t="str">
        <x:f>IF(A265="","",0)</x:f>
      </x:c>
      <x:c r="U265" s="131" t="str">
        <x:f>IF(A265="","",0)</x:f>
      </x:c>
      <x:c r="V265" s="131" t="str">
        <x:f>IF(A265="","",IF(N265="Paga",0,IF(O265&gt;0,R265,S265)))</x:f>
      </x:c>
      <x:c r="W265" s="131" t="str">
        <x:f>IF(A265="","",ROUND(MAX(D265-F265,0),2))</x:f>
      </x:c>
      <x:c r="X265" s="131" t="str">
        <x:f>IF(A265="","",ROUND(SUM($G265:$G$407),2))</x:f>
      </x:c>
      <x:c r="Y265" s="131" t="str">
        <x:f>IF(A265="","",ROUND(MAX(X265-D265,0),2))</x:f>
      </x:c>
      <x:c r="Z265" s="131" t="str">
        <x:f>IF(A265="","",ROUND(SUM($V265:$V$407),2))</x:f>
      </x:c>
      <x:c r="AA265" s="131" t="str">
        <x:f>IF(A265="","",ROUND(SUM($K265:$K$407)-Z265,2))</x:f>
      </x:c>
      <x:c r="AB265" s="77"/>
      <x:c r="AC265" s="36" t="str">
        <x:f>IF(A265="","",IF(O265&gt;0,"Vencido: saldo da fatura + mora",IF(O265&lt;=0,"Vincendo: VP da parcela financeira; comissão/proteção futuras isentas","")))</x:f>
      </x:c>
    </x:row>
    <x:row r="266">
      <x:c r="A266" s="129" t="str">
        <x:f>IF(ROW()-7&lt;=Contrato!$C$16,ROW()-7,"")</x:f>
      </x:c>
      <x:c r="B266" s="129" t="str">
        <x:f>IF(A266="","",Contrato!$C$16)</x:f>
      </x:c>
      <x:c r="C266" s="130" t="str">
        <x:f>IF(A266="","",IF(AB266&lt;&gt;"",AB266,IF(Contrato!$C$14="Mensal",EDATE(Contrato!$C$13,A266-1),Contrato!$C$13+(A266-1)*IF(Contrato!$C$14="Quinzenal",14,IF(Contrato!$C$14="Semanal",7,1)))))</x:f>
      </x:c>
      <x:c r="D266" s="131" t="str">
        <x:f>IF(A266="","",W265)</x:f>
      </x:c>
      <x:c r="E266" s="131" t="str">
        <x:f>IF(A266="","",ROUND(D266*Simulador!$I$18,2))</x:f>
      </x:c>
      <x:c r="F266" s="131" t="str">
        <x:f>IF(A266="","",ROUND(MIN(D266,MAX(G266-E266,0)),2))</x:f>
      </x:c>
      <x:c r="G266" s="131" t="str">
        <x:f>IF(A266="","",IF(A266&lt;Contrato!$C$16,Contrato!$C$27,Contrato!$C$28))</x:f>
      </x:c>
      <x:c r="H266" s="131" t="str">
        <x:f>IF(A266="","",Contrato!$C$29)</x:f>
      </x:c>
      <x:c r="I266" s="131" t="str">
        <x:f>IF(A266="","",Contrato!$C$30)</x:f>
      </x:c>
      <x:c r="J266" s="131" t="str">
        <x:f>IF(A266="","",Contrato!$C$31)</x:f>
      </x:c>
      <x:c r="K266" s="131" t="str">
        <x:f>IF(A266="","",ROUND(SUM(G266:J266),2))</x:f>
      </x:c>
      <x:c r="L266" s="80"/>
      <x:c r="M266" s="77"/>
      <x:c r="N266" s="29" t="str">
        <x:f>IF(A266="","",IF(L266&gt;=K266,"Paga",IF(L266&gt;0,"Paga parcialmente",IF(C266&lt;$A$5,"Vencida","Prevista"))))</x:f>
      </x:c>
      <x:c r="O266" s="29" t="str">
        <x:f>IF(A266="","",$A$5-C266)</x:f>
      </x:c>
      <x:c r="P266" s="131" t="str">
        <x:f>IF(A266="","",IF(AND(O266&gt;0,MAX(K266-L266,0)&gt;0,N266&lt;&gt;"Paga"),ROUND(MAX(K266-L266,0)*'Parâmetros'!$B$34,2),0))</x:f>
      </x:c>
      <x:c r="Q266" s="131" t="str">
        <x:f>IF(A266="","",IF(AND(O266&gt;0,MAX(K266-L266,0)&gt;0,N266&lt;&gt;"Paga"),ROUND(MAX(K266-L266,0)*'Parâmetros'!$B$35*(O266/'Parâmetros'!$B$33),2),0))</x:f>
      </x:c>
      <x:c r="R266" s="131" t="str">
        <x:f>IF(A266="","",IF(O266&gt;0,ROUND(MAX(K266-L266,0)+P266+Q266,2),0))</x:f>
      </x:c>
      <x:c r="S266" s="131" t="str">
        <x:f>IF(A266="","",IF(OR(N266="Paga",O266&gt;0),0,ROUND(IF(K266=0,0,G266*MAX(K266-L266,0)/K266)/(1+'Parâmetros'!$C$13)^((C266-$A$5)/30),2)))</x:f>
      </x:c>
      <x:c r="T266" s="131" t="str">
        <x:f>IF(A266="","",0)</x:f>
      </x:c>
      <x:c r="U266" s="131" t="str">
        <x:f>IF(A266="","",0)</x:f>
      </x:c>
      <x:c r="V266" s="131" t="str">
        <x:f>IF(A266="","",IF(N266="Paga",0,IF(O266&gt;0,R266,S266)))</x:f>
      </x:c>
      <x:c r="W266" s="131" t="str">
        <x:f>IF(A266="","",ROUND(MAX(D266-F266,0),2))</x:f>
      </x:c>
      <x:c r="X266" s="131" t="str">
        <x:f>IF(A266="","",ROUND(SUM($G266:$G$407),2))</x:f>
      </x:c>
      <x:c r="Y266" s="131" t="str">
        <x:f>IF(A266="","",ROUND(MAX(X266-D266,0),2))</x:f>
      </x:c>
      <x:c r="Z266" s="131" t="str">
        <x:f>IF(A266="","",ROUND(SUM($V266:$V$407),2))</x:f>
      </x:c>
      <x:c r="AA266" s="131" t="str">
        <x:f>IF(A266="","",ROUND(SUM($K266:$K$407)-Z266,2))</x:f>
      </x:c>
      <x:c r="AB266" s="77"/>
      <x:c r="AC266" s="36" t="str">
        <x:f>IF(A266="","",IF(O266&gt;0,"Vencido: saldo da fatura + mora",IF(O266&lt;=0,"Vincendo: VP da parcela financeira; comissão/proteção futuras isentas","")))</x:f>
      </x:c>
    </x:row>
    <x:row r="267">
      <x:c r="A267" s="129" t="str">
        <x:f>IF(ROW()-7&lt;=Contrato!$C$16,ROW()-7,"")</x:f>
      </x:c>
      <x:c r="B267" s="129" t="str">
        <x:f>IF(A267="","",Contrato!$C$16)</x:f>
      </x:c>
      <x:c r="C267" s="130" t="str">
        <x:f>IF(A267="","",IF(AB267&lt;&gt;"",AB267,IF(Contrato!$C$14="Mensal",EDATE(Contrato!$C$13,A267-1),Contrato!$C$13+(A267-1)*IF(Contrato!$C$14="Quinzenal",14,IF(Contrato!$C$14="Semanal",7,1)))))</x:f>
      </x:c>
      <x:c r="D267" s="131" t="str">
        <x:f>IF(A267="","",W266)</x:f>
      </x:c>
      <x:c r="E267" s="131" t="str">
        <x:f>IF(A267="","",ROUND(D267*Simulador!$I$18,2))</x:f>
      </x:c>
      <x:c r="F267" s="131" t="str">
        <x:f>IF(A267="","",ROUND(MIN(D267,MAX(G267-E267,0)),2))</x:f>
      </x:c>
      <x:c r="G267" s="131" t="str">
        <x:f>IF(A267="","",IF(A267&lt;Contrato!$C$16,Contrato!$C$27,Contrato!$C$28))</x:f>
      </x:c>
      <x:c r="H267" s="131" t="str">
        <x:f>IF(A267="","",Contrato!$C$29)</x:f>
      </x:c>
      <x:c r="I267" s="131" t="str">
        <x:f>IF(A267="","",Contrato!$C$30)</x:f>
      </x:c>
      <x:c r="J267" s="131" t="str">
        <x:f>IF(A267="","",Contrato!$C$31)</x:f>
      </x:c>
      <x:c r="K267" s="131" t="str">
        <x:f>IF(A267="","",ROUND(SUM(G267:J267),2))</x:f>
      </x:c>
      <x:c r="L267" s="80"/>
      <x:c r="M267" s="77"/>
      <x:c r="N267" s="29" t="str">
        <x:f>IF(A267="","",IF(L267&gt;=K267,"Paga",IF(L267&gt;0,"Paga parcialmente",IF(C267&lt;$A$5,"Vencida","Prevista"))))</x:f>
      </x:c>
      <x:c r="O267" s="29" t="str">
        <x:f>IF(A267="","",$A$5-C267)</x:f>
      </x:c>
      <x:c r="P267" s="131" t="str">
        <x:f>IF(A267="","",IF(AND(O267&gt;0,MAX(K267-L267,0)&gt;0,N267&lt;&gt;"Paga"),ROUND(MAX(K267-L267,0)*'Parâmetros'!$B$34,2),0))</x:f>
      </x:c>
      <x:c r="Q267" s="131" t="str">
        <x:f>IF(A267="","",IF(AND(O267&gt;0,MAX(K267-L267,0)&gt;0,N267&lt;&gt;"Paga"),ROUND(MAX(K267-L267,0)*'Parâmetros'!$B$35*(O267/'Parâmetros'!$B$33),2),0))</x:f>
      </x:c>
      <x:c r="R267" s="131" t="str">
        <x:f>IF(A267="","",IF(O267&gt;0,ROUND(MAX(K267-L267,0)+P267+Q267,2),0))</x:f>
      </x:c>
      <x:c r="S267" s="131" t="str">
        <x:f>IF(A267="","",IF(OR(N267="Paga",O267&gt;0),0,ROUND(IF(K267=0,0,G267*MAX(K267-L267,0)/K267)/(1+'Parâmetros'!$C$13)^((C267-$A$5)/30),2)))</x:f>
      </x:c>
      <x:c r="T267" s="131" t="str">
        <x:f>IF(A267="","",0)</x:f>
      </x:c>
      <x:c r="U267" s="131" t="str">
        <x:f>IF(A267="","",0)</x:f>
      </x:c>
      <x:c r="V267" s="131" t="str">
        <x:f>IF(A267="","",IF(N267="Paga",0,IF(O267&gt;0,R267,S267)))</x:f>
      </x:c>
      <x:c r="W267" s="131" t="str">
        <x:f>IF(A267="","",ROUND(MAX(D267-F267,0),2))</x:f>
      </x:c>
      <x:c r="X267" s="131" t="str">
        <x:f>IF(A267="","",ROUND(SUM($G267:$G$407),2))</x:f>
      </x:c>
      <x:c r="Y267" s="131" t="str">
        <x:f>IF(A267="","",ROUND(MAX(X267-D267,0),2))</x:f>
      </x:c>
      <x:c r="Z267" s="131" t="str">
        <x:f>IF(A267="","",ROUND(SUM($V267:$V$407),2))</x:f>
      </x:c>
      <x:c r="AA267" s="131" t="str">
        <x:f>IF(A267="","",ROUND(SUM($K267:$K$407)-Z267,2))</x:f>
      </x:c>
      <x:c r="AB267" s="77"/>
      <x:c r="AC267" s="36" t="str">
        <x:f>IF(A267="","",IF(O267&gt;0,"Vencido: saldo da fatura + mora",IF(O267&lt;=0,"Vincendo: VP da parcela financeira; comissão/proteção futuras isentas","")))</x:f>
      </x:c>
    </x:row>
    <x:row r="268">
      <x:c r="A268" s="129" t="str">
        <x:f>IF(ROW()-7&lt;=Contrato!$C$16,ROW()-7,"")</x:f>
      </x:c>
      <x:c r="B268" s="129" t="str">
        <x:f>IF(A268="","",Contrato!$C$16)</x:f>
      </x:c>
      <x:c r="C268" s="130" t="str">
        <x:f>IF(A268="","",IF(AB268&lt;&gt;"",AB268,IF(Contrato!$C$14="Mensal",EDATE(Contrato!$C$13,A268-1),Contrato!$C$13+(A268-1)*IF(Contrato!$C$14="Quinzenal",14,IF(Contrato!$C$14="Semanal",7,1)))))</x:f>
      </x:c>
      <x:c r="D268" s="131" t="str">
        <x:f>IF(A268="","",W267)</x:f>
      </x:c>
      <x:c r="E268" s="131" t="str">
        <x:f>IF(A268="","",ROUND(D268*Simulador!$I$18,2))</x:f>
      </x:c>
      <x:c r="F268" s="131" t="str">
        <x:f>IF(A268="","",ROUND(MIN(D268,MAX(G268-E268,0)),2))</x:f>
      </x:c>
      <x:c r="G268" s="131" t="str">
        <x:f>IF(A268="","",IF(A268&lt;Contrato!$C$16,Contrato!$C$27,Contrato!$C$28))</x:f>
      </x:c>
      <x:c r="H268" s="131" t="str">
        <x:f>IF(A268="","",Contrato!$C$29)</x:f>
      </x:c>
      <x:c r="I268" s="131" t="str">
        <x:f>IF(A268="","",Contrato!$C$30)</x:f>
      </x:c>
      <x:c r="J268" s="131" t="str">
        <x:f>IF(A268="","",Contrato!$C$31)</x:f>
      </x:c>
      <x:c r="K268" s="131" t="str">
        <x:f>IF(A268="","",ROUND(SUM(G268:J268),2))</x:f>
      </x:c>
      <x:c r="L268" s="80"/>
      <x:c r="M268" s="77"/>
      <x:c r="N268" s="29" t="str">
        <x:f>IF(A268="","",IF(L268&gt;=K268,"Paga",IF(L268&gt;0,"Paga parcialmente",IF(C268&lt;$A$5,"Vencida","Prevista"))))</x:f>
      </x:c>
      <x:c r="O268" s="29" t="str">
        <x:f>IF(A268="","",$A$5-C268)</x:f>
      </x:c>
      <x:c r="P268" s="131" t="str">
        <x:f>IF(A268="","",IF(AND(O268&gt;0,MAX(K268-L268,0)&gt;0,N268&lt;&gt;"Paga"),ROUND(MAX(K268-L268,0)*'Parâmetros'!$B$34,2),0))</x:f>
      </x:c>
      <x:c r="Q268" s="131" t="str">
        <x:f>IF(A268="","",IF(AND(O268&gt;0,MAX(K268-L268,0)&gt;0,N268&lt;&gt;"Paga"),ROUND(MAX(K268-L268,0)*'Parâmetros'!$B$35*(O268/'Parâmetros'!$B$33),2),0))</x:f>
      </x:c>
      <x:c r="R268" s="131" t="str">
        <x:f>IF(A268="","",IF(O268&gt;0,ROUND(MAX(K268-L268,0)+P268+Q268,2),0))</x:f>
      </x:c>
      <x:c r="S268" s="131" t="str">
        <x:f>IF(A268="","",IF(OR(N268="Paga",O268&gt;0),0,ROUND(IF(K268=0,0,G268*MAX(K268-L268,0)/K268)/(1+'Parâmetros'!$C$13)^((C268-$A$5)/30),2)))</x:f>
      </x:c>
      <x:c r="T268" s="131" t="str">
        <x:f>IF(A268="","",0)</x:f>
      </x:c>
      <x:c r="U268" s="131" t="str">
        <x:f>IF(A268="","",0)</x:f>
      </x:c>
      <x:c r="V268" s="131" t="str">
        <x:f>IF(A268="","",IF(N268="Paga",0,IF(O268&gt;0,R268,S268)))</x:f>
      </x:c>
      <x:c r="W268" s="131" t="str">
        <x:f>IF(A268="","",ROUND(MAX(D268-F268,0),2))</x:f>
      </x:c>
      <x:c r="X268" s="131" t="str">
        <x:f>IF(A268="","",ROUND(SUM($G268:$G$407),2))</x:f>
      </x:c>
      <x:c r="Y268" s="131" t="str">
        <x:f>IF(A268="","",ROUND(MAX(X268-D268,0),2))</x:f>
      </x:c>
      <x:c r="Z268" s="131" t="str">
        <x:f>IF(A268="","",ROUND(SUM($V268:$V$407),2))</x:f>
      </x:c>
      <x:c r="AA268" s="131" t="str">
        <x:f>IF(A268="","",ROUND(SUM($K268:$K$407)-Z268,2))</x:f>
      </x:c>
      <x:c r="AB268" s="77"/>
      <x:c r="AC268" s="36" t="str">
        <x:f>IF(A268="","",IF(O268&gt;0,"Vencido: saldo da fatura + mora",IF(O268&lt;=0,"Vincendo: VP da parcela financeira; comissão/proteção futuras isentas","")))</x:f>
      </x:c>
    </x:row>
    <x:row r="269">
      <x:c r="A269" s="129" t="str">
        <x:f>IF(ROW()-7&lt;=Contrato!$C$16,ROW()-7,"")</x:f>
      </x:c>
      <x:c r="B269" s="129" t="str">
        <x:f>IF(A269="","",Contrato!$C$16)</x:f>
      </x:c>
      <x:c r="C269" s="130" t="str">
        <x:f>IF(A269="","",IF(AB269&lt;&gt;"",AB269,IF(Contrato!$C$14="Mensal",EDATE(Contrato!$C$13,A269-1),Contrato!$C$13+(A269-1)*IF(Contrato!$C$14="Quinzenal",14,IF(Contrato!$C$14="Semanal",7,1)))))</x:f>
      </x:c>
      <x:c r="D269" s="131" t="str">
        <x:f>IF(A269="","",W268)</x:f>
      </x:c>
      <x:c r="E269" s="131" t="str">
        <x:f>IF(A269="","",ROUND(D269*Simulador!$I$18,2))</x:f>
      </x:c>
      <x:c r="F269" s="131" t="str">
        <x:f>IF(A269="","",ROUND(MIN(D269,MAX(G269-E269,0)),2))</x:f>
      </x:c>
      <x:c r="G269" s="131" t="str">
        <x:f>IF(A269="","",IF(A269&lt;Contrato!$C$16,Contrato!$C$27,Contrato!$C$28))</x:f>
      </x:c>
      <x:c r="H269" s="131" t="str">
        <x:f>IF(A269="","",Contrato!$C$29)</x:f>
      </x:c>
      <x:c r="I269" s="131" t="str">
        <x:f>IF(A269="","",Contrato!$C$30)</x:f>
      </x:c>
      <x:c r="J269" s="131" t="str">
        <x:f>IF(A269="","",Contrato!$C$31)</x:f>
      </x:c>
      <x:c r="K269" s="131" t="str">
        <x:f>IF(A269="","",ROUND(SUM(G269:J269),2))</x:f>
      </x:c>
      <x:c r="L269" s="80"/>
      <x:c r="M269" s="77"/>
      <x:c r="N269" s="29" t="str">
        <x:f>IF(A269="","",IF(L269&gt;=K269,"Paga",IF(L269&gt;0,"Paga parcialmente",IF(C269&lt;$A$5,"Vencida","Prevista"))))</x:f>
      </x:c>
      <x:c r="O269" s="29" t="str">
        <x:f>IF(A269="","",$A$5-C269)</x:f>
      </x:c>
      <x:c r="P269" s="131" t="str">
        <x:f>IF(A269="","",IF(AND(O269&gt;0,MAX(K269-L269,0)&gt;0,N269&lt;&gt;"Paga"),ROUND(MAX(K269-L269,0)*'Parâmetros'!$B$34,2),0))</x:f>
      </x:c>
      <x:c r="Q269" s="131" t="str">
        <x:f>IF(A269="","",IF(AND(O269&gt;0,MAX(K269-L269,0)&gt;0,N269&lt;&gt;"Paga"),ROUND(MAX(K269-L269,0)*'Parâmetros'!$B$35*(O269/'Parâmetros'!$B$33),2),0))</x:f>
      </x:c>
      <x:c r="R269" s="131" t="str">
        <x:f>IF(A269="","",IF(O269&gt;0,ROUND(MAX(K269-L269,0)+P269+Q269,2),0))</x:f>
      </x:c>
      <x:c r="S269" s="131" t="str">
        <x:f>IF(A269="","",IF(OR(N269="Paga",O269&gt;0),0,ROUND(IF(K269=0,0,G269*MAX(K269-L269,0)/K269)/(1+'Parâmetros'!$C$13)^((C269-$A$5)/30),2)))</x:f>
      </x:c>
      <x:c r="T269" s="131" t="str">
        <x:f>IF(A269="","",0)</x:f>
      </x:c>
      <x:c r="U269" s="131" t="str">
        <x:f>IF(A269="","",0)</x:f>
      </x:c>
      <x:c r="V269" s="131" t="str">
        <x:f>IF(A269="","",IF(N269="Paga",0,IF(O269&gt;0,R269,S269)))</x:f>
      </x:c>
      <x:c r="W269" s="131" t="str">
        <x:f>IF(A269="","",ROUND(MAX(D269-F269,0),2))</x:f>
      </x:c>
      <x:c r="X269" s="131" t="str">
        <x:f>IF(A269="","",ROUND(SUM($G269:$G$407),2))</x:f>
      </x:c>
      <x:c r="Y269" s="131" t="str">
        <x:f>IF(A269="","",ROUND(MAX(X269-D269,0),2))</x:f>
      </x:c>
      <x:c r="Z269" s="131" t="str">
        <x:f>IF(A269="","",ROUND(SUM($V269:$V$407),2))</x:f>
      </x:c>
      <x:c r="AA269" s="131" t="str">
        <x:f>IF(A269="","",ROUND(SUM($K269:$K$407)-Z269,2))</x:f>
      </x:c>
      <x:c r="AB269" s="77"/>
      <x:c r="AC269" s="36" t="str">
        <x:f>IF(A269="","",IF(O269&gt;0,"Vencido: saldo da fatura + mora",IF(O269&lt;=0,"Vincendo: VP da parcela financeira; comissão/proteção futuras isentas","")))</x:f>
      </x:c>
    </x:row>
    <x:row r="270">
      <x:c r="A270" s="129" t="str">
        <x:f>IF(ROW()-7&lt;=Contrato!$C$16,ROW()-7,"")</x:f>
      </x:c>
      <x:c r="B270" s="129" t="str">
        <x:f>IF(A270="","",Contrato!$C$16)</x:f>
      </x:c>
      <x:c r="C270" s="130" t="str">
        <x:f>IF(A270="","",IF(AB270&lt;&gt;"",AB270,IF(Contrato!$C$14="Mensal",EDATE(Contrato!$C$13,A270-1),Contrato!$C$13+(A270-1)*IF(Contrato!$C$14="Quinzenal",14,IF(Contrato!$C$14="Semanal",7,1)))))</x:f>
      </x:c>
      <x:c r="D270" s="131" t="str">
        <x:f>IF(A270="","",W269)</x:f>
      </x:c>
      <x:c r="E270" s="131" t="str">
        <x:f>IF(A270="","",ROUND(D270*Simulador!$I$18,2))</x:f>
      </x:c>
      <x:c r="F270" s="131" t="str">
        <x:f>IF(A270="","",ROUND(MIN(D270,MAX(G270-E270,0)),2))</x:f>
      </x:c>
      <x:c r="G270" s="131" t="str">
        <x:f>IF(A270="","",IF(A270&lt;Contrato!$C$16,Contrato!$C$27,Contrato!$C$28))</x:f>
      </x:c>
      <x:c r="H270" s="131" t="str">
        <x:f>IF(A270="","",Contrato!$C$29)</x:f>
      </x:c>
      <x:c r="I270" s="131" t="str">
        <x:f>IF(A270="","",Contrato!$C$30)</x:f>
      </x:c>
      <x:c r="J270" s="131" t="str">
        <x:f>IF(A270="","",Contrato!$C$31)</x:f>
      </x:c>
      <x:c r="K270" s="131" t="str">
        <x:f>IF(A270="","",ROUND(SUM(G270:J270),2))</x:f>
      </x:c>
      <x:c r="L270" s="80"/>
      <x:c r="M270" s="77"/>
      <x:c r="N270" s="29" t="str">
        <x:f>IF(A270="","",IF(L270&gt;=K270,"Paga",IF(L270&gt;0,"Paga parcialmente",IF(C270&lt;$A$5,"Vencida","Prevista"))))</x:f>
      </x:c>
      <x:c r="O270" s="29" t="str">
        <x:f>IF(A270="","",$A$5-C270)</x:f>
      </x:c>
      <x:c r="P270" s="131" t="str">
        <x:f>IF(A270="","",IF(AND(O270&gt;0,MAX(K270-L270,0)&gt;0,N270&lt;&gt;"Paga"),ROUND(MAX(K270-L270,0)*'Parâmetros'!$B$34,2),0))</x:f>
      </x:c>
      <x:c r="Q270" s="131" t="str">
        <x:f>IF(A270="","",IF(AND(O270&gt;0,MAX(K270-L270,0)&gt;0,N270&lt;&gt;"Paga"),ROUND(MAX(K270-L270,0)*'Parâmetros'!$B$35*(O270/'Parâmetros'!$B$33),2),0))</x:f>
      </x:c>
      <x:c r="R270" s="131" t="str">
        <x:f>IF(A270="","",IF(O270&gt;0,ROUND(MAX(K270-L270,0)+P270+Q270,2),0))</x:f>
      </x:c>
      <x:c r="S270" s="131" t="str">
        <x:f>IF(A270="","",IF(OR(N270="Paga",O270&gt;0),0,ROUND(IF(K270=0,0,G270*MAX(K270-L270,0)/K270)/(1+'Parâmetros'!$C$13)^((C270-$A$5)/30),2)))</x:f>
      </x:c>
      <x:c r="T270" s="131" t="str">
        <x:f>IF(A270="","",0)</x:f>
      </x:c>
      <x:c r="U270" s="131" t="str">
        <x:f>IF(A270="","",0)</x:f>
      </x:c>
      <x:c r="V270" s="131" t="str">
        <x:f>IF(A270="","",IF(N270="Paga",0,IF(O270&gt;0,R270,S270)))</x:f>
      </x:c>
      <x:c r="W270" s="131" t="str">
        <x:f>IF(A270="","",ROUND(MAX(D270-F270,0),2))</x:f>
      </x:c>
      <x:c r="X270" s="131" t="str">
        <x:f>IF(A270="","",ROUND(SUM($G270:$G$407),2))</x:f>
      </x:c>
      <x:c r="Y270" s="131" t="str">
        <x:f>IF(A270="","",ROUND(MAX(X270-D270,0),2))</x:f>
      </x:c>
      <x:c r="Z270" s="131" t="str">
        <x:f>IF(A270="","",ROUND(SUM($V270:$V$407),2))</x:f>
      </x:c>
      <x:c r="AA270" s="131" t="str">
        <x:f>IF(A270="","",ROUND(SUM($K270:$K$407)-Z270,2))</x:f>
      </x:c>
      <x:c r="AB270" s="77"/>
      <x:c r="AC270" s="36" t="str">
        <x:f>IF(A270="","",IF(O270&gt;0,"Vencido: saldo da fatura + mora",IF(O270&lt;=0,"Vincendo: VP da parcela financeira; comissão/proteção futuras isentas","")))</x:f>
      </x:c>
    </x:row>
    <x:row r="271">
      <x:c r="A271" s="129" t="str">
        <x:f>IF(ROW()-7&lt;=Contrato!$C$16,ROW()-7,"")</x:f>
      </x:c>
      <x:c r="B271" s="129" t="str">
        <x:f>IF(A271="","",Contrato!$C$16)</x:f>
      </x:c>
      <x:c r="C271" s="130" t="str">
        <x:f>IF(A271="","",IF(AB271&lt;&gt;"",AB271,IF(Contrato!$C$14="Mensal",EDATE(Contrato!$C$13,A271-1),Contrato!$C$13+(A271-1)*IF(Contrato!$C$14="Quinzenal",14,IF(Contrato!$C$14="Semanal",7,1)))))</x:f>
      </x:c>
      <x:c r="D271" s="131" t="str">
        <x:f>IF(A271="","",W270)</x:f>
      </x:c>
      <x:c r="E271" s="131" t="str">
        <x:f>IF(A271="","",ROUND(D271*Simulador!$I$18,2))</x:f>
      </x:c>
      <x:c r="F271" s="131" t="str">
        <x:f>IF(A271="","",ROUND(MIN(D271,MAX(G271-E271,0)),2))</x:f>
      </x:c>
      <x:c r="G271" s="131" t="str">
        <x:f>IF(A271="","",IF(A271&lt;Contrato!$C$16,Contrato!$C$27,Contrato!$C$28))</x:f>
      </x:c>
      <x:c r="H271" s="131" t="str">
        <x:f>IF(A271="","",Contrato!$C$29)</x:f>
      </x:c>
      <x:c r="I271" s="131" t="str">
        <x:f>IF(A271="","",Contrato!$C$30)</x:f>
      </x:c>
      <x:c r="J271" s="131" t="str">
        <x:f>IF(A271="","",Contrato!$C$31)</x:f>
      </x:c>
      <x:c r="K271" s="131" t="str">
        <x:f>IF(A271="","",ROUND(SUM(G271:J271),2))</x:f>
      </x:c>
      <x:c r="L271" s="80"/>
      <x:c r="M271" s="77"/>
      <x:c r="N271" s="29" t="str">
        <x:f>IF(A271="","",IF(L271&gt;=K271,"Paga",IF(L271&gt;0,"Paga parcialmente",IF(C271&lt;$A$5,"Vencida","Prevista"))))</x:f>
      </x:c>
      <x:c r="O271" s="29" t="str">
        <x:f>IF(A271="","",$A$5-C271)</x:f>
      </x:c>
      <x:c r="P271" s="131" t="str">
        <x:f>IF(A271="","",IF(AND(O271&gt;0,MAX(K271-L271,0)&gt;0,N271&lt;&gt;"Paga"),ROUND(MAX(K271-L271,0)*'Parâmetros'!$B$34,2),0))</x:f>
      </x:c>
      <x:c r="Q271" s="131" t="str">
        <x:f>IF(A271="","",IF(AND(O271&gt;0,MAX(K271-L271,0)&gt;0,N271&lt;&gt;"Paga"),ROUND(MAX(K271-L271,0)*'Parâmetros'!$B$35*(O271/'Parâmetros'!$B$33),2),0))</x:f>
      </x:c>
      <x:c r="R271" s="131" t="str">
        <x:f>IF(A271="","",IF(O271&gt;0,ROUND(MAX(K271-L271,0)+P271+Q271,2),0))</x:f>
      </x:c>
      <x:c r="S271" s="131" t="str">
        <x:f>IF(A271="","",IF(OR(N271="Paga",O271&gt;0),0,ROUND(IF(K271=0,0,G271*MAX(K271-L271,0)/K271)/(1+'Parâmetros'!$C$13)^((C271-$A$5)/30),2)))</x:f>
      </x:c>
      <x:c r="T271" s="131" t="str">
        <x:f>IF(A271="","",0)</x:f>
      </x:c>
      <x:c r="U271" s="131" t="str">
        <x:f>IF(A271="","",0)</x:f>
      </x:c>
      <x:c r="V271" s="131" t="str">
        <x:f>IF(A271="","",IF(N271="Paga",0,IF(O271&gt;0,R271,S271)))</x:f>
      </x:c>
      <x:c r="W271" s="131" t="str">
        <x:f>IF(A271="","",ROUND(MAX(D271-F271,0),2))</x:f>
      </x:c>
      <x:c r="X271" s="131" t="str">
        <x:f>IF(A271="","",ROUND(SUM($G271:$G$407),2))</x:f>
      </x:c>
      <x:c r="Y271" s="131" t="str">
        <x:f>IF(A271="","",ROUND(MAX(X271-D271,0),2))</x:f>
      </x:c>
      <x:c r="Z271" s="131" t="str">
        <x:f>IF(A271="","",ROUND(SUM($V271:$V$407),2))</x:f>
      </x:c>
      <x:c r="AA271" s="131" t="str">
        <x:f>IF(A271="","",ROUND(SUM($K271:$K$407)-Z271,2))</x:f>
      </x:c>
      <x:c r="AB271" s="77"/>
      <x:c r="AC271" s="36" t="str">
        <x:f>IF(A271="","",IF(O271&gt;0,"Vencido: saldo da fatura + mora",IF(O271&lt;=0,"Vincendo: VP da parcela financeira; comissão/proteção futuras isentas","")))</x:f>
      </x:c>
    </x:row>
    <x:row r="272">
      <x:c r="A272" s="129" t="str">
        <x:f>IF(ROW()-7&lt;=Contrato!$C$16,ROW()-7,"")</x:f>
      </x:c>
      <x:c r="B272" s="129" t="str">
        <x:f>IF(A272="","",Contrato!$C$16)</x:f>
      </x:c>
      <x:c r="C272" s="130" t="str">
        <x:f>IF(A272="","",IF(AB272&lt;&gt;"",AB272,IF(Contrato!$C$14="Mensal",EDATE(Contrato!$C$13,A272-1),Contrato!$C$13+(A272-1)*IF(Contrato!$C$14="Quinzenal",14,IF(Contrato!$C$14="Semanal",7,1)))))</x:f>
      </x:c>
      <x:c r="D272" s="131" t="str">
        <x:f>IF(A272="","",W271)</x:f>
      </x:c>
      <x:c r="E272" s="131" t="str">
        <x:f>IF(A272="","",ROUND(D272*Simulador!$I$18,2))</x:f>
      </x:c>
      <x:c r="F272" s="131" t="str">
        <x:f>IF(A272="","",ROUND(MIN(D272,MAX(G272-E272,0)),2))</x:f>
      </x:c>
      <x:c r="G272" s="131" t="str">
        <x:f>IF(A272="","",IF(A272&lt;Contrato!$C$16,Contrato!$C$27,Contrato!$C$28))</x:f>
      </x:c>
      <x:c r="H272" s="131" t="str">
        <x:f>IF(A272="","",Contrato!$C$29)</x:f>
      </x:c>
      <x:c r="I272" s="131" t="str">
        <x:f>IF(A272="","",Contrato!$C$30)</x:f>
      </x:c>
      <x:c r="J272" s="131" t="str">
        <x:f>IF(A272="","",Contrato!$C$31)</x:f>
      </x:c>
      <x:c r="K272" s="131" t="str">
        <x:f>IF(A272="","",ROUND(SUM(G272:J272),2))</x:f>
      </x:c>
      <x:c r="L272" s="80"/>
      <x:c r="M272" s="77"/>
      <x:c r="N272" s="29" t="str">
        <x:f>IF(A272="","",IF(L272&gt;=K272,"Paga",IF(L272&gt;0,"Paga parcialmente",IF(C272&lt;$A$5,"Vencida","Prevista"))))</x:f>
      </x:c>
      <x:c r="O272" s="29" t="str">
        <x:f>IF(A272="","",$A$5-C272)</x:f>
      </x:c>
      <x:c r="P272" s="131" t="str">
        <x:f>IF(A272="","",IF(AND(O272&gt;0,MAX(K272-L272,0)&gt;0,N272&lt;&gt;"Paga"),ROUND(MAX(K272-L272,0)*'Parâmetros'!$B$34,2),0))</x:f>
      </x:c>
      <x:c r="Q272" s="131" t="str">
        <x:f>IF(A272="","",IF(AND(O272&gt;0,MAX(K272-L272,0)&gt;0,N272&lt;&gt;"Paga"),ROUND(MAX(K272-L272,0)*'Parâmetros'!$B$35*(O272/'Parâmetros'!$B$33),2),0))</x:f>
      </x:c>
      <x:c r="R272" s="131" t="str">
        <x:f>IF(A272="","",IF(O272&gt;0,ROUND(MAX(K272-L272,0)+P272+Q272,2),0))</x:f>
      </x:c>
      <x:c r="S272" s="131" t="str">
        <x:f>IF(A272="","",IF(OR(N272="Paga",O272&gt;0),0,ROUND(IF(K272=0,0,G272*MAX(K272-L272,0)/K272)/(1+'Parâmetros'!$C$13)^((C272-$A$5)/30),2)))</x:f>
      </x:c>
      <x:c r="T272" s="131" t="str">
        <x:f>IF(A272="","",0)</x:f>
      </x:c>
      <x:c r="U272" s="131" t="str">
        <x:f>IF(A272="","",0)</x:f>
      </x:c>
      <x:c r="V272" s="131" t="str">
        <x:f>IF(A272="","",IF(N272="Paga",0,IF(O272&gt;0,R272,S272)))</x:f>
      </x:c>
      <x:c r="W272" s="131" t="str">
        <x:f>IF(A272="","",ROUND(MAX(D272-F272,0),2))</x:f>
      </x:c>
      <x:c r="X272" s="131" t="str">
        <x:f>IF(A272="","",ROUND(SUM($G272:$G$407),2))</x:f>
      </x:c>
      <x:c r="Y272" s="131" t="str">
        <x:f>IF(A272="","",ROUND(MAX(X272-D272,0),2))</x:f>
      </x:c>
      <x:c r="Z272" s="131" t="str">
        <x:f>IF(A272="","",ROUND(SUM($V272:$V$407),2))</x:f>
      </x:c>
      <x:c r="AA272" s="131" t="str">
        <x:f>IF(A272="","",ROUND(SUM($K272:$K$407)-Z272,2))</x:f>
      </x:c>
      <x:c r="AB272" s="77"/>
      <x:c r="AC272" s="36" t="str">
        <x:f>IF(A272="","",IF(O272&gt;0,"Vencido: saldo da fatura + mora",IF(O272&lt;=0,"Vincendo: VP da parcela financeira; comissão/proteção futuras isentas","")))</x:f>
      </x:c>
    </x:row>
    <x:row r="273">
      <x:c r="A273" s="129" t="str">
        <x:f>IF(ROW()-7&lt;=Contrato!$C$16,ROW()-7,"")</x:f>
      </x:c>
      <x:c r="B273" s="129" t="str">
        <x:f>IF(A273="","",Contrato!$C$16)</x:f>
      </x:c>
      <x:c r="C273" s="130" t="str">
        <x:f>IF(A273="","",IF(AB273&lt;&gt;"",AB273,IF(Contrato!$C$14="Mensal",EDATE(Contrato!$C$13,A273-1),Contrato!$C$13+(A273-1)*IF(Contrato!$C$14="Quinzenal",14,IF(Contrato!$C$14="Semanal",7,1)))))</x:f>
      </x:c>
      <x:c r="D273" s="131" t="str">
        <x:f>IF(A273="","",W272)</x:f>
      </x:c>
      <x:c r="E273" s="131" t="str">
        <x:f>IF(A273="","",ROUND(D273*Simulador!$I$18,2))</x:f>
      </x:c>
      <x:c r="F273" s="131" t="str">
        <x:f>IF(A273="","",ROUND(MIN(D273,MAX(G273-E273,0)),2))</x:f>
      </x:c>
      <x:c r="G273" s="131" t="str">
        <x:f>IF(A273="","",IF(A273&lt;Contrato!$C$16,Contrato!$C$27,Contrato!$C$28))</x:f>
      </x:c>
      <x:c r="H273" s="131" t="str">
        <x:f>IF(A273="","",Contrato!$C$29)</x:f>
      </x:c>
      <x:c r="I273" s="131" t="str">
        <x:f>IF(A273="","",Contrato!$C$30)</x:f>
      </x:c>
      <x:c r="J273" s="131" t="str">
        <x:f>IF(A273="","",Contrato!$C$31)</x:f>
      </x:c>
      <x:c r="K273" s="131" t="str">
        <x:f>IF(A273="","",ROUND(SUM(G273:J273),2))</x:f>
      </x:c>
      <x:c r="L273" s="80"/>
      <x:c r="M273" s="77"/>
      <x:c r="N273" s="29" t="str">
        <x:f>IF(A273="","",IF(L273&gt;=K273,"Paga",IF(L273&gt;0,"Paga parcialmente",IF(C273&lt;$A$5,"Vencida","Prevista"))))</x:f>
      </x:c>
      <x:c r="O273" s="29" t="str">
        <x:f>IF(A273="","",$A$5-C273)</x:f>
      </x:c>
      <x:c r="P273" s="131" t="str">
        <x:f>IF(A273="","",IF(AND(O273&gt;0,MAX(K273-L273,0)&gt;0,N273&lt;&gt;"Paga"),ROUND(MAX(K273-L273,0)*'Parâmetros'!$B$34,2),0))</x:f>
      </x:c>
      <x:c r="Q273" s="131" t="str">
        <x:f>IF(A273="","",IF(AND(O273&gt;0,MAX(K273-L273,0)&gt;0,N273&lt;&gt;"Paga"),ROUND(MAX(K273-L273,0)*'Parâmetros'!$B$35*(O273/'Parâmetros'!$B$33),2),0))</x:f>
      </x:c>
      <x:c r="R273" s="131" t="str">
        <x:f>IF(A273="","",IF(O273&gt;0,ROUND(MAX(K273-L273,0)+P273+Q273,2),0))</x:f>
      </x:c>
      <x:c r="S273" s="131" t="str">
        <x:f>IF(A273="","",IF(OR(N273="Paga",O273&gt;0),0,ROUND(IF(K273=0,0,G273*MAX(K273-L273,0)/K273)/(1+'Parâmetros'!$C$13)^((C273-$A$5)/30),2)))</x:f>
      </x:c>
      <x:c r="T273" s="131" t="str">
        <x:f>IF(A273="","",0)</x:f>
      </x:c>
      <x:c r="U273" s="131" t="str">
        <x:f>IF(A273="","",0)</x:f>
      </x:c>
      <x:c r="V273" s="131" t="str">
        <x:f>IF(A273="","",IF(N273="Paga",0,IF(O273&gt;0,R273,S273)))</x:f>
      </x:c>
      <x:c r="W273" s="131" t="str">
        <x:f>IF(A273="","",ROUND(MAX(D273-F273,0),2))</x:f>
      </x:c>
      <x:c r="X273" s="131" t="str">
        <x:f>IF(A273="","",ROUND(SUM($G273:$G$407),2))</x:f>
      </x:c>
      <x:c r="Y273" s="131" t="str">
        <x:f>IF(A273="","",ROUND(MAX(X273-D273,0),2))</x:f>
      </x:c>
      <x:c r="Z273" s="131" t="str">
        <x:f>IF(A273="","",ROUND(SUM($V273:$V$407),2))</x:f>
      </x:c>
      <x:c r="AA273" s="131" t="str">
        <x:f>IF(A273="","",ROUND(SUM($K273:$K$407)-Z273,2))</x:f>
      </x:c>
      <x:c r="AB273" s="77"/>
      <x:c r="AC273" s="36" t="str">
        <x:f>IF(A273="","",IF(O273&gt;0,"Vencido: saldo da fatura + mora",IF(O273&lt;=0,"Vincendo: VP da parcela financeira; comissão/proteção futuras isentas","")))</x:f>
      </x:c>
    </x:row>
    <x:row r="274">
      <x:c r="A274" s="129" t="str">
        <x:f>IF(ROW()-7&lt;=Contrato!$C$16,ROW()-7,"")</x:f>
      </x:c>
      <x:c r="B274" s="129" t="str">
        <x:f>IF(A274="","",Contrato!$C$16)</x:f>
      </x:c>
      <x:c r="C274" s="130" t="str">
        <x:f>IF(A274="","",IF(AB274&lt;&gt;"",AB274,IF(Contrato!$C$14="Mensal",EDATE(Contrato!$C$13,A274-1),Contrato!$C$13+(A274-1)*IF(Contrato!$C$14="Quinzenal",14,IF(Contrato!$C$14="Semanal",7,1)))))</x:f>
      </x:c>
      <x:c r="D274" s="131" t="str">
        <x:f>IF(A274="","",W273)</x:f>
      </x:c>
      <x:c r="E274" s="131" t="str">
        <x:f>IF(A274="","",ROUND(D274*Simulador!$I$18,2))</x:f>
      </x:c>
      <x:c r="F274" s="131" t="str">
        <x:f>IF(A274="","",ROUND(MIN(D274,MAX(G274-E274,0)),2))</x:f>
      </x:c>
      <x:c r="G274" s="131" t="str">
        <x:f>IF(A274="","",IF(A274&lt;Contrato!$C$16,Contrato!$C$27,Contrato!$C$28))</x:f>
      </x:c>
      <x:c r="H274" s="131" t="str">
        <x:f>IF(A274="","",Contrato!$C$29)</x:f>
      </x:c>
      <x:c r="I274" s="131" t="str">
        <x:f>IF(A274="","",Contrato!$C$30)</x:f>
      </x:c>
      <x:c r="J274" s="131" t="str">
        <x:f>IF(A274="","",Contrato!$C$31)</x:f>
      </x:c>
      <x:c r="K274" s="131" t="str">
        <x:f>IF(A274="","",ROUND(SUM(G274:J274),2))</x:f>
      </x:c>
      <x:c r="L274" s="80"/>
      <x:c r="M274" s="77"/>
      <x:c r="N274" s="29" t="str">
        <x:f>IF(A274="","",IF(L274&gt;=K274,"Paga",IF(L274&gt;0,"Paga parcialmente",IF(C274&lt;$A$5,"Vencida","Prevista"))))</x:f>
      </x:c>
      <x:c r="O274" s="29" t="str">
        <x:f>IF(A274="","",$A$5-C274)</x:f>
      </x:c>
      <x:c r="P274" s="131" t="str">
        <x:f>IF(A274="","",IF(AND(O274&gt;0,MAX(K274-L274,0)&gt;0,N274&lt;&gt;"Paga"),ROUND(MAX(K274-L274,0)*'Parâmetros'!$B$34,2),0))</x:f>
      </x:c>
      <x:c r="Q274" s="131" t="str">
        <x:f>IF(A274="","",IF(AND(O274&gt;0,MAX(K274-L274,0)&gt;0,N274&lt;&gt;"Paga"),ROUND(MAX(K274-L274,0)*'Parâmetros'!$B$35*(O274/'Parâmetros'!$B$33),2),0))</x:f>
      </x:c>
      <x:c r="R274" s="131" t="str">
        <x:f>IF(A274="","",IF(O274&gt;0,ROUND(MAX(K274-L274,0)+P274+Q274,2),0))</x:f>
      </x:c>
      <x:c r="S274" s="131" t="str">
        <x:f>IF(A274="","",IF(OR(N274="Paga",O274&gt;0),0,ROUND(IF(K274=0,0,G274*MAX(K274-L274,0)/K274)/(1+'Parâmetros'!$C$13)^((C274-$A$5)/30),2)))</x:f>
      </x:c>
      <x:c r="T274" s="131" t="str">
        <x:f>IF(A274="","",0)</x:f>
      </x:c>
      <x:c r="U274" s="131" t="str">
        <x:f>IF(A274="","",0)</x:f>
      </x:c>
      <x:c r="V274" s="131" t="str">
        <x:f>IF(A274="","",IF(N274="Paga",0,IF(O274&gt;0,R274,S274)))</x:f>
      </x:c>
      <x:c r="W274" s="131" t="str">
        <x:f>IF(A274="","",ROUND(MAX(D274-F274,0),2))</x:f>
      </x:c>
      <x:c r="X274" s="131" t="str">
        <x:f>IF(A274="","",ROUND(SUM($G274:$G$407),2))</x:f>
      </x:c>
      <x:c r="Y274" s="131" t="str">
        <x:f>IF(A274="","",ROUND(MAX(X274-D274,0),2))</x:f>
      </x:c>
      <x:c r="Z274" s="131" t="str">
        <x:f>IF(A274="","",ROUND(SUM($V274:$V$407),2))</x:f>
      </x:c>
      <x:c r="AA274" s="131" t="str">
        <x:f>IF(A274="","",ROUND(SUM($K274:$K$407)-Z274,2))</x:f>
      </x:c>
      <x:c r="AB274" s="77"/>
      <x:c r="AC274" s="36" t="str">
        <x:f>IF(A274="","",IF(O274&gt;0,"Vencido: saldo da fatura + mora",IF(O274&lt;=0,"Vincendo: VP da parcela financeira; comissão/proteção futuras isentas","")))</x:f>
      </x:c>
    </x:row>
    <x:row r="275">
      <x:c r="A275" s="129" t="str">
        <x:f>IF(ROW()-7&lt;=Contrato!$C$16,ROW()-7,"")</x:f>
      </x:c>
      <x:c r="B275" s="129" t="str">
        <x:f>IF(A275="","",Contrato!$C$16)</x:f>
      </x:c>
      <x:c r="C275" s="130" t="str">
        <x:f>IF(A275="","",IF(AB275&lt;&gt;"",AB275,IF(Contrato!$C$14="Mensal",EDATE(Contrato!$C$13,A275-1),Contrato!$C$13+(A275-1)*IF(Contrato!$C$14="Quinzenal",14,IF(Contrato!$C$14="Semanal",7,1)))))</x:f>
      </x:c>
      <x:c r="D275" s="131" t="str">
        <x:f>IF(A275="","",W274)</x:f>
      </x:c>
      <x:c r="E275" s="131" t="str">
        <x:f>IF(A275="","",ROUND(D275*Simulador!$I$18,2))</x:f>
      </x:c>
      <x:c r="F275" s="131" t="str">
        <x:f>IF(A275="","",ROUND(MIN(D275,MAX(G275-E275,0)),2))</x:f>
      </x:c>
      <x:c r="G275" s="131" t="str">
        <x:f>IF(A275="","",IF(A275&lt;Contrato!$C$16,Contrato!$C$27,Contrato!$C$28))</x:f>
      </x:c>
      <x:c r="H275" s="131" t="str">
        <x:f>IF(A275="","",Contrato!$C$29)</x:f>
      </x:c>
      <x:c r="I275" s="131" t="str">
        <x:f>IF(A275="","",Contrato!$C$30)</x:f>
      </x:c>
      <x:c r="J275" s="131" t="str">
        <x:f>IF(A275="","",Contrato!$C$31)</x:f>
      </x:c>
      <x:c r="K275" s="131" t="str">
        <x:f>IF(A275="","",ROUND(SUM(G275:J275),2))</x:f>
      </x:c>
      <x:c r="L275" s="80"/>
      <x:c r="M275" s="77"/>
      <x:c r="N275" s="29" t="str">
        <x:f>IF(A275="","",IF(L275&gt;=K275,"Paga",IF(L275&gt;0,"Paga parcialmente",IF(C275&lt;$A$5,"Vencida","Prevista"))))</x:f>
      </x:c>
      <x:c r="O275" s="29" t="str">
        <x:f>IF(A275="","",$A$5-C275)</x:f>
      </x:c>
      <x:c r="P275" s="131" t="str">
        <x:f>IF(A275="","",IF(AND(O275&gt;0,MAX(K275-L275,0)&gt;0,N275&lt;&gt;"Paga"),ROUND(MAX(K275-L275,0)*'Parâmetros'!$B$34,2),0))</x:f>
      </x:c>
      <x:c r="Q275" s="131" t="str">
        <x:f>IF(A275="","",IF(AND(O275&gt;0,MAX(K275-L275,0)&gt;0,N275&lt;&gt;"Paga"),ROUND(MAX(K275-L275,0)*'Parâmetros'!$B$35*(O275/'Parâmetros'!$B$33),2),0))</x:f>
      </x:c>
      <x:c r="R275" s="131" t="str">
        <x:f>IF(A275="","",IF(O275&gt;0,ROUND(MAX(K275-L275,0)+P275+Q275,2),0))</x:f>
      </x:c>
      <x:c r="S275" s="131" t="str">
        <x:f>IF(A275="","",IF(OR(N275="Paga",O275&gt;0),0,ROUND(IF(K275=0,0,G275*MAX(K275-L275,0)/K275)/(1+'Parâmetros'!$C$13)^((C275-$A$5)/30),2)))</x:f>
      </x:c>
      <x:c r="T275" s="131" t="str">
        <x:f>IF(A275="","",0)</x:f>
      </x:c>
      <x:c r="U275" s="131" t="str">
        <x:f>IF(A275="","",0)</x:f>
      </x:c>
      <x:c r="V275" s="131" t="str">
        <x:f>IF(A275="","",IF(N275="Paga",0,IF(O275&gt;0,R275,S275)))</x:f>
      </x:c>
      <x:c r="W275" s="131" t="str">
        <x:f>IF(A275="","",ROUND(MAX(D275-F275,0),2))</x:f>
      </x:c>
      <x:c r="X275" s="131" t="str">
        <x:f>IF(A275="","",ROUND(SUM($G275:$G$407),2))</x:f>
      </x:c>
      <x:c r="Y275" s="131" t="str">
        <x:f>IF(A275="","",ROUND(MAX(X275-D275,0),2))</x:f>
      </x:c>
      <x:c r="Z275" s="131" t="str">
        <x:f>IF(A275="","",ROUND(SUM($V275:$V$407),2))</x:f>
      </x:c>
      <x:c r="AA275" s="131" t="str">
        <x:f>IF(A275="","",ROUND(SUM($K275:$K$407)-Z275,2))</x:f>
      </x:c>
      <x:c r="AB275" s="77"/>
      <x:c r="AC275" s="36" t="str">
        <x:f>IF(A275="","",IF(O275&gt;0,"Vencido: saldo da fatura + mora",IF(O275&lt;=0,"Vincendo: VP da parcela financeira; comissão/proteção futuras isentas","")))</x:f>
      </x:c>
    </x:row>
    <x:row r="276">
      <x:c r="A276" s="129" t="str">
        <x:f>IF(ROW()-7&lt;=Contrato!$C$16,ROW()-7,"")</x:f>
      </x:c>
      <x:c r="B276" s="129" t="str">
        <x:f>IF(A276="","",Contrato!$C$16)</x:f>
      </x:c>
      <x:c r="C276" s="130" t="str">
        <x:f>IF(A276="","",IF(AB276&lt;&gt;"",AB276,IF(Contrato!$C$14="Mensal",EDATE(Contrato!$C$13,A276-1),Contrato!$C$13+(A276-1)*IF(Contrato!$C$14="Quinzenal",14,IF(Contrato!$C$14="Semanal",7,1)))))</x:f>
      </x:c>
      <x:c r="D276" s="131" t="str">
        <x:f>IF(A276="","",W275)</x:f>
      </x:c>
      <x:c r="E276" s="131" t="str">
        <x:f>IF(A276="","",ROUND(D276*Simulador!$I$18,2))</x:f>
      </x:c>
      <x:c r="F276" s="131" t="str">
        <x:f>IF(A276="","",ROUND(MIN(D276,MAX(G276-E276,0)),2))</x:f>
      </x:c>
      <x:c r="G276" s="131" t="str">
        <x:f>IF(A276="","",IF(A276&lt;Contrato!$C$16,Contrato!$C$27,Contrato!$C$28))</x:f>
      </x:c>
      <x:c r="H276" s="131" t="str">
        <x:f>IF(A276="","",Contrato!$C$29)</x:f>
      </x:c>
      <x:c r="I276" s="131" t="str">
        <x:f>IF(A276="","",Contrato!$C$30)</x:f>
      </x:c>
      <x:c r="J276" s="131" t="str">
        <x:f>IF(A276="","",Contrato!$C$31)</x:f>
      </x:c>
      <x:c r="K276" s="131" t="str">
        <x:f>IF(A276="","",ROUND(SUM(G276:J276),2))</x:f>
      </x:c>
      <x:c r="L276" s="80"/>
      <x:c r="M276" s="77"/>
      <x:c r="N276" s="29" t="str">
        <x:f>IF(A276="","",IF(L276&gt;=K276,"Paga",IF(L276&gt;0,"Paga parcialmente",IF(C276&lt;$A$5,"Vencida","Prevista"))))</x:f>
      </x:c>
      <x:c r="O276" s="29" t="str">
        <x:f>IF(A276="","",$A$5-C276)</x:f>
      </x:c>
      <x:c r="P276" s="131" t="str">
        <x:f>IF(A276="","",IF(AND(O276&gt;0,MAX(K276-L276,0)&gt;0,N276&lt;&gt;"Paga"),ROUND(MAX(K276-L276,0)*'Parâmetros'!$B$34,2),0))</x:f>
      </x:c>
      <x:c r="Q276" s="131" t="str">
        <x:f>IF(A276="","",IF(AND(O276&gt;0,MAX(K276-L276,0)&gt;0,N276&lt;&gt;"Paga"),ROUND(MAX(K276-L276,0)*'Parâmetros'!$B$35*(O276/'Parâmetros'!$B$33),2),0))</x:f>
      </x:c>
      <x:c r="R276" s="131" t="str">
        <x:f>IF(A276="","",IF(O276&gt;0,ROUND(MAX(K276-L276,0)+P276+Q276,2),0))</x:f>
      </x:c>
      <x:c r="S276" s="131" t="str">
        <x:f>IF(A276="","",IF(OR(N276="Paga",O276&gt;0),0,ROUND(IF(K276=0,0,G276*MAX(K276-L276,0)/K276)/(1+'Parâmetros'!$C$13)^((C276-$A$5)/30),2)))</x:f>
      </x:c>
      <x:c r="T276" s="131" t="str">
        <x:f>IF(A276="","",0)</x:f>
      </x:c>
      <x:c r="U276" s="131" t="str">
        <x:f>IF(A276="","",0)</x:f>
      </x:c>
      <x:c r="V276" s="131" t="str">
        <x:f>IF(A276="","",IF(N276="Paga",0,IF(O276&gt;0,R276,S276)))</x:f>
      </x:c>
      <x:c r="W276" s="131" t="str">
        <x:f>IF(A276="","",ROUND(MAX(D276-F276,0),2))</x:f>
      </x:c>
      <x:c r="X276" s="131" t="str">
        <x:f>IF(A276="","",ROUND(SUM($G276:$G$407),2))</x:f>
      </x:c>
      <x:c r="Y276" s="131" t="str">
        <x:f>IF(A276="","",ROUND(MAX(X276-D276,0),2))</x:f>
      </x:c>
      <x:c r="Z276" s="131" t="str">
        <x:f>IF(A276="","",ROUND(SUM($V276:$V$407),2))</x:f>
      </x:c>
      <x:c r="AA276" s="131" t="str">
        <x:f>IF(A276="","",ROUND(SUM($K276:$K$407)-Z276,2))</x:f>
      </x:c>
      <x:c r="AB276" s="77"/>
      <x:c r="AC276" s="36" t="str">
        <x:f>IF(A276="","",IF(O276&gt;0,"Vencido: saldo da fatura + mora",IF(O276&lt;=0,"Vincendo: VP da parcela financeira; comissão/proteção futuras isentas","")))</x:f>
      </x:c>
    </x:row>
    <x:row r="277">
      <x:c r="A277" s="129" t="str">
        <x:f>IF(ROW()-7&lt;=Contrato!$C$16,ROW()-7,"")</x:f>
      </x:c>
      <x:c r="B277" s="129" t="str">
        <x:f>IF(A277="","",Contrato!$C$16)</x:f>
      </x:c>
      <x:c r="C277" s="130" t="str">
        <x:f>IF(A277="","",IF(AB277&lt;&gt;"",AB277,IF(Contrato!$C$14="Mensal",EDATE(Contrato!$C$13,A277-1),Contrato!$C$13+(A277-1)*IF(Contrato!$C$14="Quinzenal",14,IF(Contrato!$C$14="Semanal",7,1)))))</x:f>
      </x:c>
      <x:c r="D277" s="131" t="str">
        <x:f>IF(A277="","",W276)</x:f>
      </x:c>
      <x:c r="E277" s="131" t="str">
        <x:f>IF(A277="","",ROUND(D277*Simulador!$I$18,2))</x:f>
      </x:c>
      <x:c r="F277" s="131" t="str">
        <x:f>IF(A277="","",ROUND(MIN(D277,MAX(G277-E277,0)),2))</x:f>
      </x:c>
      <x:c r="G277" s="131" t="str">
        <x:f>IF(A277="","",IF(A277&lt;Contrato!$C$16,Contrato!$C$27,Contrato!$C$28))</x:f>
      </x:c>
      <x:c r="H277" s="131" t="str">
        <x:f>IF(A277="","",Contrato!$C$29)</x:f>
      </x:c>
      <x:c r="I277" s="131" t="str">
        <x:f>IF(A277="","",Contrato!$C$30)</x:f>
      </x:c>
      <x:c r="J277" s="131" t="str">
        <x:f>IF(A277="","",Contrato!$C$31)</x:f>
      </x:c>
      <x:c r="K277" s="131" t="str">
        <x:f>IF(A277="","",ROUND(SUM(G277:J277),2))</x:f>
      </x:c>
      <x:c r="L277" s="80"/>
      <x:c r="M277" s="77"/>
      <x:c r="N277" s="29" t="str">
        <x:f>IF(A277="","",IF(L277&gt;=K277,"Paga",IF(L277&gt;0,"Paga parcialmente",IF(C277&lt;$A$5,"Vencida","Prevista"))))</x:f>
      </x:c>
      <x:c r="O277" s="29" t="str">
        <x:f>IF(A277="","",$A$5-C277)</x:f>
      </x:c>
      <x:c r="P277" s="131" t="str">
        <x:f>IF(A277="","",IF(AND(O277&gt;0,MAX(K277-L277,0)&gt;0,N277&lt;&gt;"Paga"),ROUND(MAX(K277-L277,0)*'Parâmetros'!$B$34,2),0))</x:f>
      </x:c>
      <x:c r="Q277" s="131" t="str">
        <x:f>IF(A277="","",IF(AND(O277&gt;0,MAX(K277-L277,0)&gt;0,N277&lt;&gt;"Paga"),ROUND(MAX(K277-L277,0)*'Parâmetros'!$B$35*(O277/'Parâmetros'!$B$33),2),0))</x:f>
      </x:c>
      <x:c r="R277" s="131" t="str">
        <x:f>IF(A277="","",IF(O277&gt;0,ROUND(MAX(K277-L277,0)+P277+Q277,2),0))</x:f>
      </x:c>
      <x:c r="S277" s="131" t="str">
        <x:f>IF(A277="","",IF(OR(N277="Paga",O277&gt;0),0,ROUND(IF(K277=0,0,G277*MAX(K277-L277,0)/K277)/(1+'Parâmetros'!$C$13)^((C277-$A$5)/30),2)))</x:f>
      </x:c>
      <x:c r="T277" s="131" t="str">
        <x:f>IF(A277="","",0)</x:f>
      </x:c>
      <x:c r="U277" s="131" t="str">
        <x:f>IF(A277="","",0)</x:f>
      </x:c>
      <x:c r="V277" s="131" t="str">
        <x:f>IF(A277="","",IF(N277="Paga",0,IF(O277&gt;0,R277,S277)))</x:f>
      </x:c>
      <x:c r="W277" s="131" t="str">
        <x:f>IF(A277="","",ROUND(MAX(D277-F277,0),2))</x:f>
      </x:c>
      <x:c r="X277" s="131" t="str">
        <x:f>IF(A277="","",ROUND(SUM($G277:$G$407),2))</x:f>
      </x:c>
      <x:c r="Y277" s="131" t="str">
        <x:f>IF(A277="","",ROUND(MAX(X277-D277,0),2))</x:f>
      </x:c>
      <x:c r="Z277" s="131" t="str">
        <x:f>IF(A277="","",ROUND(SUM($V277:$V$407),2))</x:f>
      </x:c>
      <x:c r="AA277" s="131" t="str">
        <x:f>IF(A277="","",ROUND(SUM($K277:$K$407)-Z277,2))</x:f>
      </x:c>
      <x:c r="AB277" s="77"/>
      <x:c r="AC277" s="36" t="str">
        <x:f>IF(A277="","",IF(O277&gt;0,"Vencido: saldo da fatura + mora",IF(O277&lt;=0,"Vincendo: VP da parcela financeira; comissão/proteção futuras isentas","")))</x:f>
      </x:c>
    </x:row>
    <x:row r="278">
      <x:c r="A278" s="129" t="str">
        <x:f>IF(ROW()-7&lt;=Contrato!$C$16,ROW()-7,"")</x:f>
      </x:c>
      <x:c r="B278" s="129" t="str">
        <x:f>IF(A278="","",Contrato!$C$16)</x:f>
      </x:c>
      <x:c r="C278" s="130" t="str">
        <x:f>IF(A278="","",IF(AB278&lt;&gt;"",AB278,IF(Contrato!$C$14="Mensal",EDATE(Contrato!$C$13,A278-1),Contrato!$C$13+(A278-1)*IF(Contrato!$C$14="Quinzenal",14,IF(Contrato!$C$14="Semanal",7,1)))))</x:f>
      </x:c>
      <x:c r="D278" s="131" t="str">
        <x:f>IF(A278="","",W277)</x:f>
      </x:c>
      <x:c r="E278" s="131" t="str">
        <x:f>IF(A278="","",ROUND(D278*Simulador!$I$18,2))</x:f>
      </x:c>
      <x:c r="F278" s="131" t="str">
        <x:f>IF(A278="","",ROUND(MIN(D278,MAX(G278-E278,0)),2))</x:f>
      </x:c>
      <x:c r="G278" s="131" t="str">
        <x:f>IF(A278="","",IF(A278&lt;Contrato!$C$16,Contrato!$C$27,Contrato!$C$28))</x:f>
      </x:c>
      <x:c r="H278" s="131" t="str">
        <x:f>IF(A278="","",Contrato!$C$29)</x:f>
      </x:c>
      <x:c r="I278" s="131" t="str">
        <x:f>IF(A278="","",Contrato!$C$30)</x:f>
      </x:c>
      <x:c r="J278" s="131" t="str">
        <x:f>IF(A278="","",Contrato!$C$31)</x:f>
      </x:c>
      <x:c r="K278" s="131" t="str">
        <x:f>IF(A278="","",ROUND(SUM(G278:J278),2))</x:f>
      </x:c>
      <x:c r="L278" s="80"/>
      <x:c r="M278" s="77"/>
      <x:c r="N278" s="29" t="str">
        <x:f>IF(A278="","",IF(L278&gt;=K278,"Paga",IF(L278&gt;0,"Paga parcialmente",IF(C278&lt;$A$5,"Vencida","Prevista"))))</x:f>
      </x:c>
      <x:c r="O278" s="29" t="str">
        <x:f>IF(A278="","",$A$5-C278)</x:f>
      </x:c>
      <x:c r="P278" s="131" t="str">
        <x:f>IF(A278="","",IF(AND(O278&gt;0,MAX(K278-L278,0)&gt;0,N278&lt;&gt;"Paga"),ROUND(MAX(K278-L278,0)*'Parâmetros'!$B$34,2),0))</x:f>
      </x:c>
      <x:c r="Q278" s="131" t="str">
        <x:f>IF(A278="","",IF(AND(O278&gt;0,MAX(K278-L278,0)&gt;0,N278&lt;&gt;"Paga"),ROUND(MAX(K278-L278,0)*'Parâmetros'!$B$35*(O278/'Parâmetros'!$B$33),2),0))</x:f>
      </x:c>
      <x:c r="R278" s="131" t="str">
        <x:f>IF(A278="","",IF(O278&gt;0,ROUND(MAX(K278-L278,0)+P278+Q278,2),0))</x:f>
      </x:c>
      <x:c r="S278" s="131" t="str">
        <x:f>IF(A278="","",IF(OR(N278="Paga",O278&gt;0),0,ROUND(IF(K278=0,0,G278*MAX(K278-L278,0)/K278)/(1+'Parâmetros'!$C$13)^((C278-$A$5)/30),2)))</x:f>
      </x:c>
      <x:c r="T278" s="131" t="str">
        <x:f>IF(A278="","",0)</x:f>
      </x:c>
      <x:c r="U278" s="131" t="str">
        <x:f>IF(A278="","",0)</x:f>
      </x:c>
      <x:c r="V278" s="131" t="str">
        <x:f>IF(A278="","",IF(N278="Paga",0,IF(O278&gt;0,R278,S278)))</x:f>
      </x:c>
      <x:c r="W278" s="131" t="str">
        <x:f>IF(A278="","",ROUND(MAX(D278-F278,0),2))</x:f>
      </x:c>
      <x:c r="X278" s="131" t="str">
        <x:f>IF(A278="","",ROUND(SUM($G278:$G$407),2))</x:f>
      </x:c>
      <x:c r="Y278" s="131" t="str">
        <x:f>IF(A278="","",ROUND(MAX(X278-D278,0),2))</x:f>
      </x:c>
      <x:c r="Z278" s="131" t="str">
        <x:f>IF(A278="","",ROUND(SUM($V278:$V$407),2))</x:f>
      </x:c>
      <x:c r="AA278" s="131" t="str">
        <x:f>IF(A278="","",ROUND(SUM($K278:$K$407)-Z278,2))</x:f>
      </x:c>
      <x:c r="AB278" s="77"/>
      <x:c r="AC278" s="36" t="str">
        <x:f>IF(A278="","",IF(O278&gt;0,"Vencido: saldo da fatura + mora",IF(O278&lt;=0,"Vincendo: VP da parcela financeira; comissão/proteção futuras isentas","")))</x:f>
      </x:c>
    </x:row>
    <x:row r="279">
      <x:c r="A279" s="129" t="str">
        <x:f>IF(ROW()-7&lt;=Contrato!$C$16,ROW()-7,"")</x:f>
      </x:c>
      <x:c r="B279" s="129" t="str">
        <x:f>IF(A279="","",Contrato!$C$16)</x:f>
      </x:c>
      <x:c r="C279" s="130" t="str">
        <x:f>IF(A279="","",IF(AB279&lt;&gt;"",AB279,IF(Contrato!$C$14="Mensal",EDATE(Contrato!$C$13,A279-1),Contrato!$C$13+(A279-1)*IF(Contrato!$C$14="Quinzenal",14,IF(Contrato!$C$14="Semanal",7,1)))))</x:f>
      </x:c>
      <x:c r="D279" s="131" t="str">
        <x:f>IF(A279="","",W278)</x:f>
      </x:c>
      <x:c r="E279" s="131" t="str">
        <x:f>IF(A279="","",ROUND(D279*Simulador!$I$18,2))</x:f>
      </x:c>
      <x:c r="F279" s="131" t="str">
        <x:f>IF(A279="","",ROUND(MIN(D279,MAX(G279-E279,0)),2))</x:f>
      </x:c>
      <x:c r="G279" s="131" t="str">
        <x:f>IF(A279="","",IF(A279&lt;Contrato!$C$16,Contrato!$C$27,Contrato!$C$28))</x:f>
      </x:c>
      <x:c r="H279" s="131" t="str">
        <x:f>IF(A279="","",Contrato!$C$29)</x:f>
      </x:c>
      <x:c r="I279" s="131" t="str">
        <x:f>IF(A279="","",Contrato!$C$30)</x:f>
      </x:c>
      <x:c r="J279" s="131" t="str">
        <x:f>IF(A279="","",Contrato!$C$31)</x:f>
      </x:c>
      <x:c r="K279" s="131" t="str">
        <x:f>IF(A279="","",ROUND(SUM(G279:J279),2))</x:f>
      </x:c>
      <x:c r="L279" s="80"/>
      <x:c r="M279" s="77"/>
      <x:c r="N279" s="29" t="str">
        <x:f>IF(A279="","",IF(L279&gt;=K279,"Paga",IF(L279&gt;0,"Paga parcialmente",IF(C279&lt;$A$5,"Vencida","Prevista"))))</x:f>
      </x:c>
      <x:c r="O279" s="29" t="str">
        <x:f>IF(A279="","",$A$5-C279)</x:f>
      </x:c>
      <x:c r="P279" s="131" t="str">
        <x:f>IF(A279="","",IF(AND(O279&gt;0,MAX(K279-L279,0)&gt;0,N279&lt;&gt;"Paga"),ROUND(MAX(K279-L279,0)*'Parâmetros'!$B$34,2),0))</x:f>
      </x:c>
      <x:c r="Q279" s="131" t="str">
        <x:f>IF(A279="","",IF(AND(O279&gt;0,MAX(K279-L279,0)&gt;0,N279&lt;&gt;"Paga"),ROUND(MAX(K279-L279,0)*'Parâmetros'!$B$35*(O279/'Parâmetros'!$B$33),2),0))</x:f>
      </x:c>
      <x:c r="R279" s="131" t="str">
        <x:f>IF(A279="","",IF(O279&gt;0,ROUND(MAX(K279-L279,0)+P279+Q279,2),0))</x:f>
      </x:c>
      <x:c r="S279" s="131" t="str">
        <x:f>IF(A279="","",IF(OR(N279="Paga",O279&gt;0),0,ROUND(IF(K279=0,0,G279*MAX(K279-L279,0)/K279)/(1+'Parâmetros'!$C$13)^((C279-$A$5)/30),2)))</x:f>
      </x:c>
      <x:c r="T279" s="131" t="str">
        <x:f>IF(A279="","",0)</x:f>
      </x:c>
      <x:c r="U279" s="131" t="str">
        <x:f>IF(A279="","",0)</x:f>
      </x:c>
      <x:c r="V279" s="131" t="str">
        <x:f>IF(A279="","",IF(N279="Paga",0,IF(O279&gt;0,R279,S279)))</x:f>
      </x:c>
      <x:c r="W279" s="131" t="str">
        <x:f>IF(A279="","",ROUND(MAX(D279-F279,0),2))</x:f>
      </x:c>
      <x:c r="X279" s="131" t="str">
        <x:f>IF(A279="","",ROUND(SUM($G279:$G$407),2))</x:f>
      </x:c>
      <x:c r="Y279" s="131" t="str">
        <x:f>IF(A279="","",ROUND(MAX(X279-D279,0),2))</x:f>
      </x:c>
      <x:c r="Z279" s="131" t="str">
        <x:f>IF(A279="","",ROUND(SUM($V279:$V$407),2))</x:f>
      </x:c>
      <x:c r="AA279" s="131" t="str">
        <x:f>IF(A279="","",ROUND(SUM($K279:$K$407)-Z279,2))</x:f>
      </x:c>
      <x:c r="AB279" s="77"/>
      <x:c r="AC279" s="36" t="str">
        <x:f>IF(A279="","",IF(O279&gt;0,"Vencido: saldo da fatura + mora",IF(O279&lt;=0,"Vincendo: VP da parcela financeira; comissão/proteção futuras isentas","")))</x:f>
      </x:c>
    </x:row>
    <x:row r="280">
      <x:c r="A280" s="129" t="str">
        <x:f>IF(ROW()-7&lt;=Contrato!$C$16,ROW()-7,"")</x:f>
      </x:c>
      <x:c r="B280" s="129" t="str">
        <x:f>IF(A280="","",Contrato!$C$16)</x:f>
      </x:c>
      <x:c r="C280" s="130" t="str">
        <x:f>IF(A280="","",IF(AB280&lt;&gt;"",AB280,IF(Contrato!$C$14="Mensal",EDATE(Contrato!$C$13,A280-1),Contrato!$C$13+(A280-1)*IF(Contrato!$C$14="Quinzenal",14,IF(Contrato!$C$14="Semanal",7,1)))))</x:f>
      </x:c>
      <x:c r="D280" s="131" t="str">
        <x:f>IF(A280="","",W279)</x:f>
      </x:c>
      <x:c r="E280" s="131" t="str">
        <x:f>IF(A280="","",ROUND(D280*Simulador!$I$18,2))</x:f>
      </x:c>
      <x:c r="F280" s="131" t="str">
        <x:f>IF(A280="","",ROUND(MIN(D280,MAX(G280-E280,0)),2))</x:f>
      </x:c>
      <x:c r="G280" s="131" t="str">
        <x:f>IF(A280="","",IF(A280&lt;Contrato!$C$16,Contrato!$C$27,Contrato!$C$28))</x:f>
      </x:c>
      <x:c r="H280" s="131" t="str">
        <x:f>IF(A280="","",Contrato!$C$29)</x:f>
      </x:c>
      <x:c r="I280" s="131" t="str">
        <x:f>IF(A280="","",Contrato!$C$30)</x:f>
      </x:c>
      <x:c r="J280" s="131" t="str">
        <x:f>IF(A280="","",Contrato!$C$31)</x:f>
      </x:c>
      <x:c r="K280" s="131" t="str">
        <x:f>IF(A280="","",ROUND(SUM(G280:J280),2))</x:f>
      </x:c>
      <x:c r="L280" s="80"/>
      <x:c r="M280" s="77"/>
      <x:c r="N280" s="29" t="str">
        <x:f>IF(A280="","",IF(L280&gt;=K280,"Paga",IF(L280&gt;0,"Paga parcialmente",IF(C280&lt;$A$5,"Vencida","Prevista"))))</x:f>
      </x:c>
      <x:c r="O280" s="29" t="str">
        <x:f>IF(A280="","",$A$5-C280)</x:f>
      </x:c>
      <x:c r="P280" s="131" t="str">
        <x:f>IF(A280="","",IF(AND(O280&gt;0,MAX(K280-L280,0)&gt;0,N280&lt;&gt;"Paga"),ROUND(MAX(K280-L280,0)*'Parâmetros'!$B$34,2),0))</x:f>
      </x:c>
      <x:c r="Q280" s="131" t="str">
        <x:f>IF(A280="","",IF(AND(O280&gt;0,MAX(K280-L280,0)&gt;0,N280&lt;&gt;"Paga"),ROUND(MAX(K280-L280,0)*'Parâmetros'!$B$35*(O280/'Parâmetros'!$B$33),2),0))</x:f>
      </x:c>
      <x:c r="R280" s="131" t="str">
        <x:f>IF(A280="","",IF(O280&gt;0,ROUND(MAX(K280-L280,0)+P280+Q280,2),0))</x:f>
      </x:c>
      <x:c r="S280" s="131" t="str">
        <x:f>IF(A280="","",IF(OR(N280="Paga",O280&gt;0),0,ROUND(IF(K280=0,0,G280*MAX(K280-L280,0)/K280)/(1+'Parâmetros'!$C$13)^((C280-$A$5)/30),2)))</x:f>
      </x:c>
      <x:c r="T280" s="131" t="str">
        <x:f>IF(A280="","",0)</x:f>
      </x:c>
      <x:c r="U280" s="131" t="str">
        <x:f>IF(A280="","",0)</x:f>
      </x:c>
      <x:c r="V280" s="131" t="str">
        <x:f>IF(A280="","",IF(N280="Paga",0,IF(O280&gt;0,R280,S280)))</x:f>
      </x:c>
      <x:c r="W280" s="131" t="str">
        <x:f>IF(A280="","",ROUND(MAX(D280-F280,0),2))</x:f>
      </x:c>
      <x:c r="X280" s="131" t="str">
        <x:f>IF(A280="","",ROUND(SUM($G280:$G$407),2))</x:f>
      </x:c>
      <x:c r="Y280" s="131" t="str">
        <x:f>IF(A280="","",ROUND(MAX(X280-D280,0),2))</x:f>
      </x:c>
      <x:c r="Z280" s="131" t="str">
        <x:f>IF(A280="","",ROUND(SUM($V280:$V$407),2))</x:f>
      </x:c>
      <x:c r="AA280" s="131" t="str">
        <x:f>IF(A280="","",ROUND(SUM($K280:$K$407)-Z280,2))</x:f>
      </x:c>
      <x:c r="AB280" s="77"/>
      <x:c r="AC280" s="36" t="str">
        <x:f>IF(A280="","",IF(O280&gt;0,"Vencido: saldo da fatura + mora",IF(O280&lt;=0,"Vincendo: VP da parcela financeira; comissão/proteção futuras isentas","")))</x:f>
      </x:c>
    </x:row>
    <x:row r="281">
      <x:c r="A281" s="129" t="str">
        <x:f>IF(ROW()-7&lt;=Contrato!$C$16,ROW()-7,"")</x:f>
      </x:c>
      <x:c r="B281" s="129" t="str">
        <x:f>IF(A281="","",Contrato!$C$16)</x:f>
      </x:c>
      <x:c r="C281" s="130" t="str">
        <x:f>IF(A281="","",IF(AB281&lt;&gt;"",AB281,IF(Contrato!$C$14="Mensal",EDATE(Contrato!$C$13,A281-1),Contrato!$C$13+(A281-1)*IF(Contrato!$C$14="Quinzenal",14,IF(Contrato!$C$14="Semanal",7,1)))))</x:f>
      </x:c>
      <x:c r="D281" s="131" t="str">
        <x:f>IF(A281="","",W280)</x:f>
      </x:c>
      <x:c r="E281" s="131" t="str">
        <x:f>IF(A281="","",ROUND(D281*Simulador!$I$18,2))</x:f>
      </x:c>
      <x:c r="F281" s="131" t="str">
        <x:f>IF(A281="","",ROUND(MIN(D281,MAX(G281-E281,0)),2))</x:f>
      </x:c>
      <x:c r="G281" s="131" t="str">
        <x:f>IF(A281="","",IF(A281&lt;Contrato!$C$16,Contrato!$C$27,Contrato!$C$28))</x:f>
      </x:c>
      <x:c r="H281" s="131" t="str">
        <x:f>IF(A281="","",Contrato!$C$29)</x:f>
      </x:c>
      <x:c r="I281" s="131" t="str">
        <x:f>IF(A281="","",Contrato!$C$30)</x:f>
      </x:c>
      <x:c r="J281" s="131" t="str">
        <x:f>IF(A281="","",Contrato!$C$31)</x:f>
      </x:c>
      <x:c r="K281" s="131" t="str">
        <x:f>IF(A281="","",ROUND(SUM(G281:J281),2))</x:f>
      </x:c>
      <x:c r="L281" s="80"/>
      <x:c r="M281" s="77"/>
      <x:c r="N281" s="29" t="str">
        <x:f>IF(A281="","",IF(L281&gt;=K281,"Paga",IF(L281&gt;0,"Paga parcialmente",IF(C281&lt;$A$5,"Vencida","Prevista"))))</x:f>
      </x:c>
      <x:c r="O281" s="29" t="str">
        <x:f>IF(A281="","",$A$5-C281)</x:f>
      </x:c>
      <x:c r="P281" s="131" t="str">
        <x:f>IF(A281="","",IF(AND(O281&gt;0,MAX(K281-L281,0)&gt;0,N281&lt;&gt;"Paga"),ROUND(MAX(K281-L281,0)*'Parâmetros'!$B$34,2),0))</x:f>
      </x:c>
      <x:c r="Q281" s="131" t="str">
        <x:f>IF(A281="","",IF(AND(O281&gt;0,MAX(K281-L281,0)&gt;0,N281&lt;&gt;"Paga"),ROUND(MAX(K281-L281,0)*'Parâmetros'!$B$35*(O281/'Parâmetros'!$B$33),2),0))</x:f>
      </x:c>
      <x:c r="R281" s="131" t="str">
        <x:f>IF(A281="","",IF(O281&gt;0,ROUND(MAX(K281-L281,0)+P281+Q281,2),0))</x:f>
      </x:c>
      <x:c r="S281" s="131" t="str">
        <x:f>IF(A281="","",IF(OR(N281="Paga",O281&gt;0),0,ROUND(IF(K281=0,0,G281*MAX(K281-L281,0)/K281)/(1+'Parâmetros'!$C$13)^((C281-$A$5)/30),2)))</x:f>
      </x:c>
      <x:c r="T281" s="131" t="str">
        <x:f>IF(A281="","",0)</x:f>
      </x:c>
      <x:c r="U281" s="131" t="str">
        <x:f>IF(A281="","",0)</x:f>
      </x:c>
      <x:c r="V281" s="131" t="str">
        <x:f>IF(A281="","",IF(N281="Paga",0,IF(O281&gt;0,R281,S281)))</x:f>
      </x:c>
      <x:c r="W281" s="131" t="str">
        <x:f>IF(A281="","",ROUND(MAX(D281-F281,0),2))</x:f>
      </x:c>
      <x:c r="X281" s="131" t="str">
        <x:f>IF(A281="","",ROUND(SUM($G281:$G$407),2))</x:f>
      </x:c>
      <x:c r="Y281" s="131" t="str">
        <x:f>IF(A281="","",ROUND(MAX(X281-D281,0),2))</x:f>
      </x:c>
      <x:c r="Z281" s="131" t="str">
        <x:f>IF(A281="","",ROUND(SUM($V281:$V$407),2))</x:f>
      </x:c>
      <x:c r="AA281" s="131" t="str">
        <x:f>IF(A281="","",ROUND(SUM($K281:$K$407)-Z281,2))</x:f>
      </x:c>
      <x:c r="AB281" s="77"/>
      <x:c r="AC281" s="36" t="str">
        <x:f>IF(A281="","",IF(O281&gt;0,"Vencido: saldo da fatura + mora",IF(O281&lt;=0,"Vincendo: VP da parcela financeira; comissão/proteção futuras isentas","")))</x:f>
      </x:c>
    </x:row>
    <x:row r="282">
      <x:c r="A282" s="129" t="str">
        <x:f>IF(ROW()-7&lt;=Contrato!$C$16,ROW()-7,"")</x:f>
      </x:c>
      <x:c r="B282" s="129" t="str">
        <x:f>IF(A282="","",Contrato!$C$16)</x:f>
      </x:c>
      <x:c r="C282" s="130" t="str">
        <x:f>IF(A282="","",IF(AB282&lt;&gt;"",AB282,IF(Contrato!$C$14="Mensal",EDATE(Contrato!$C$13,A282-1),Contrato!$C$13+(A282-1)*IF(Contrato!$C$14="Quinzenal",14,IF(Contrato!$C$14="Semanal",7,1)))))</x:f>
      </x:c>
      <x:c r="D282" s="131" t="str">
        <x:f>IF(A282="","",W281)</x:f>
      </x:c>
      <x:c r="E282" s="131" t="str">
        <x:f>IF(A282="","",ROUND(D282*Simulador!$I$18,2))</x:f>
      </x:c>
      <x:c r="F282" s="131" t="str">
        <x:f>IF(A282="","",ROUND(MIN(D282,MAX(G282-E282,0)),2))</x:f>
      </x:c>
      <x:c r="G282" s="131" t="str">
        <x:f>IF(A282="","",IF(A282&lt;Contrato!$C$16,Contrato!$C$27,Contrato!$C$28))</x:f>
      </x:c>
      <x:c r="H282" s="131" t="str">
        <x:f>IF(A282="","",Contrato!$C$29)</x:f>
      </x:c>
      <x:c r="I282" s="131" t="str">
        <x:f>IF(A282="","",Contrato!$C$30)</x:f>
      </x:c>
      <x:c r="J282" s="131" t="str">
        <x:f>IF(A282="","",Contrato!$C$31)</x:f>
      </x:c>
      <x:c r="K282" s="131" t="str">
        <x:f>IF(A282="","",ROUND(SUM(G282:J282),2))</x:f>
      </x:c>
      <x:c r="L282" s="80"/>
      <x:c r="M282" s="77"/>
      <x:c r="N282" s="29" t="str">
        <x:f>IF(A282="","",IF(L282&gt;=K282,"Paga",IF(L282&gt;0,"Paga parcialmente",IF(C282&lt;$A$5,"Vencida","Prevista"))))</x:f>
      </x:c>
      <x:c r="O282" s="29" t="str">
        <x:f>IF(A282="","",$A$5-C282)</x:f>
      </x:c>
      <x:c r="P282" s="131" t="str">
        <x:f>IF(A282="","",IF(AND(O282&gt;0,MAX(K282-L282,0)&gt;0,N282&lt;&gt;"Paga"),ROUND(MAX(K282-L282,0)*'Parâmetros'!$B$34,2),0))</x:f>
      </x:c>
      <x:c r="Q282" s="131" t="str">
        <x:f>IF(A282="","",IF(AND(O282&gt;0,MAX(K282-L282,0)&gt;0,N282&lt;&gt;"Paga"),ROUND(MAX(K282-L282,0)*'Parâmetros'!$B$35*(O282/'Parâmetros'!$B$33),2),0))</x:f>
      </x:c>
      <x:c r="R282" s="131" t="str">
        <x:f>IF(A282="","",IF(O282&gt;0,ROUND(MAX(K282-L282,0)+P282+Q282,2),0))</x:f>
      </x:c>
      <x:c r="S282" s="131" t="str">
        <x:f>IF(A282="","",IF(OR(N282="Paga",O282&gt;0),0,ROUND(IF(K282=0,0,G282*MAX(K282-L282,0)/K282)/(1+'Parâmetros'!$C$13)^((C282-$A$5)/30),2)))</x:f>
      </x:c>
      <x:c r="T282" s="131" t="str">
        <x:f>IF(A282="","",0)</x:f>
      </x:c>
      <x:c r="U282" s="131" t="str">
        <x:f>IF(A282="","",0)</x:f>
      </x:c>
      <x:c r="V282" s="131" t="str">
        <x:f>IF(A282="","",IF(N282="Paga",0,IF(O282&gt;0,R282,S282)))</x:f>
      </x:c>
      <x:c r="W282" s="131" t="str">
        <x:f>IF(A282="","",ROUND(MAX(D282-F282,0),2))</x:f>
      </x:c>
      <x:c r="X282" s="131" t="str">
        <x:f>IF(A282="","",ROUND(SUM($G282:$G$407),2))</x:f>
      </x:c>
      <x:c r="Y282" s="131" t="str">
        <x:f>IF(A282="","",ROUND(MAX(X282-D282,0),2))</x:f>
      </x:c>
      <x:c r="Z282" s="131" t="str">
        <x:f>IF(A282="","",ROUND(SUM($V282:$V$407),2))</x:f>
      </x:c>
      <x:c r="AA282" s="131" t="str">
        <x:f>IF(A282="","",ROUND(SUM($K282:$K$407)-Z282,2))</x:f>
      </x:c>
      <x:c r="AB282" s="77"/>
      <x:c r="AC282" s="36" t="str">
        <x:f>IF(A282="","",IF(O282&gt;0,"Vencido: saldo da fatura + mora",IF(O282&lt;=0,"Vincendo: VP da parcela financeira; comissão/proteção futuras isentas","")))</x:f>
      </x:c>
    </x:row>
    <x:row r="283">
      <x:c r="A283" s="129" t="str">
        <x:f>IF(ROW()-7&lt;=Contrato!$C$16,ROW()-7,"")</x:f>
      </x:c>
      <x:c r="B283" s="129" t="str">
        <x:f>IF(A283="","",Contrato!$C$16)</x:f>
      </x:c>
      <x:c r="C283" s="130" t="str">
        <x:f>IF(A283="","",IF(AB283&lt;&gt;"",AB283,IF(Contrato!$C$14="Mensal",EDATE(Contrato!$C$13,A283-1),Contrato!$C$13+(A283-1)*IF(Contrato!$C$14="Quinzenal",14,IF(Contrato!$C$14="Semanal",7,1)))))</x:f>
      </x:c>
      <x:c r="D283" s="131" t="str">
        <x:f>IF(A283="","",W282)</x:f>
      </x:c>
      <x:c r="E283" s="131" t="str">
        <x:f>IF(A283="","",ROUND(D283*Simulador!$I$18,2))</x:f>
      </x:c>
      <x:c r="F283" s="131" t="str">
        <x:f>IF(A283="","",ROUND(MIN(D283,MAX(G283-E283,0)),2))</x:f>
      </x:c>
      <x:c r="G283" s="131" t="str">
        <x:f>IF(A283="","",IF(A283&lt;Contrato!$C$16,Contrato!$C$27,Contrato!$C$28))</x:f>
      </x:c>
      <x:c r="H283" s="131" t="str">
        <x:f>IF(A283="","",Contrato!$C$29)</x:f>
      </x:c>
      <x:c r="I283" s="131" t="str">
        <x:f>IF(A283="","",Contrato!$C$30)</x:f>
      </x:c>
      <x:c r="J283" s="131" t="str">
        <x:f>IF(A283="","",Contrato!$C$31)</x:f>
      </x:c>
      <x:c r="K283" s="131" t="str">
        <x:f>IF(A283="","",ROUND(SUM(G283:J283),2))</x:f>
      </x:c>
      <x:c r="L283" s="80"/>
      <x:c r="M283" s="77"/>
      <x:c r="N283" s="29" t="str">
        <x:f>IF(A283="","",IF(L283&gt;=K283,"Paga",IF(L283&gt;0,"Paga parcialmente",IF(C283&lt;$A$5,"Vencida","Prevista"))))</x:f>
      </x:c>
      <x:c r="O283" s="29" t="str">
        <x:f>IF(A283="","",$A$5-C283)</x:f>
      </x:c>
      <x:c r="P283" s="131" t="str">
        <x:f>IF(A283="","",IF(AND(O283&gt;0,MAX(K283-L283,0)&gt;0,N283&lt;&gt;"Paga"),ROUND(MAX(K283-L283,0)*'Parâmetros'!$B$34,2),0))</x:f>
      </x:c>
      <x:c r="Q283" s="131" t="str">
        <x:f>IF(A283="","",IF(AND(O283&gt;0,MAX(K283-L283,0)&gt;0,N283&lt;&gt;"Paga"),ROUND(MAX(K283-L283,0)*'Parâmetros'!$B$35*(O283/'Parâmetros'!$B$33),2),0))</x:f>
      </x:c>
      <x:c r="R283" s="131" t="str">
        <x:f>IF(A283="","",IF(O283&gt;0,ROUND(MAX(K283-L283,0)+P283+Q283,2),0))</x:f>
      </x:c>
      <x:c r="S283" s="131" t="str">
        <x:f>IF(A283="","",IF(OR(N283="Paga",O283&gt;0),0,ROUND(IF(K283=0,0,G283*MAX(K283-L283,0)/K283)/(1+'Parâmetros'!$C$13)^((C283-$A$5)/30),2)))</x:f>
      </x:c>
      <x:c r="T283" s="131" t="str">
        <x:f>IF(A283="","",0)</x:f>
      </x:c>
      <x:c r="U283" s="131" t="str">
        <x:f>IF(A283="","",0)</x:f>
      </x:c>
      <x:c r="V283" s="131" t="str">
        <x:f>IF(A283="","",IF(N283="Paga",0,IF(O283&gt;0,R283,S283)))</x:f>
      </x:c>
      <x:c r="W283" s="131" t="str">
        <x:f>IF(A283="","",ROUND(MAX(D283-F283,0),2))</x:f>
      </x:c>
      <x:c r="X283" s="131" t="str">
        <x:f>IF(A283="","",ROUND(SUM($G283:$G$407),2))</x:f>
      </x:c>
      <x:c r="Y283" s="131" t="str">
        <x:f>IF(A283="","",ROUND(MAX(X283-D283,0),2))</x:f>
      </x:c>
      <x:c r="Z283" s="131" t="str">
        <x:f>IF(A283="","",ROUND(SUM($V283:$V$407),2))</x:f>
      </x:c>
      <x:c r="AA283" s="131" t="str">
        <x:f>IF(A283="","",ROUND(SUM($K283:$K$407)-Z283,2))</x:f>
      </x:c>
      <x:c r="AB283" s="77"/>
      <x:c r="AC283" s="36" t="str">
        <x:f>IF(A283="","",IF(O283&gt;0,"Vencido: saldo da fatura + mora",IF(O283&lt;=0,"Vincendo: VP da parcela financeira; comissão/proteção futuras isentas","")))</x:f>
      </x:c>
    </x:row>
    <x:row r="284">
      <x:c r="A284" s="129" t="str">
        <x:f>IF(ROW()-7&lt;=Contrato!$C$16,ROW()-7,"")</x:f>
      </x:c>
      <x:c r="B284" s="129" t="str">
        <x:f>IF(A284="","",Contrato!$C$16)</x:f>
      </x:c>
      <x:c r="C284" s="130" t="str">
        <x:f>IF(A284="","",IF(AB284&lt;&gt;"",AB284,IF(Contrato!$C$14="Mensal",EDATE(Contrato!$C$13,A284-1),Contrato!$C$13+(A284-1)*IF(Contrato!$C$14="Quinzenal",14,IF(Contrato!$C$14="Semanal",7,1)))))</x:f>
      </x:c>
      <x:c r="D284" s="131" t="str">
        <x:f>IF(A284="","",W283)</x:f>
      </x:c>
      <x:c r="E284" s="131" t="str">
        <x:f>IF(A284="","",ROUND(D284*Simulador!$I$18,2))</x:f>
      </x:c>
      <x:c r="F284" s="131" t="str">
        <x:f>IF(A284="","",ROUND(MIN(D284,MAX(G284-E284,0)),2))</x:f>
      </x:c>
      <x:c r="G284" s="131" t="str">
        <x:f>IF(A284="","",IF(A284&lt;Contrato!$C$16,Contrato!$C$27,Contrato!$C$28))</x:f>
      </x:c>
      <x:c r="H284" s="131" t="str">
        <x:f>IF(A284="","",Contrato!$C$29)</x:f>
      </x:c>
      <x:c r="I284" s="131" t="str">
        <x:f>IF(A284="","",Contrato!$C$30)</x:f>
      </x:c>
      <x:c r="J284" s="131" t="str">
        <x:f>IF(A284="","",Contrato!$C$31)</x:f>
      </x:c>
      <x:c r="K284" s="131" t="str">
        <x:f>IF(A284="","",ROUND(SUM(G284:J284),2))</x:f>
      </x:c>
      <x:c r="L284" s="80"/>
      <x:c r="M284" s="77"/>
      <x:c r="N284" s="29" t="str">
        <x:f>IF(A284="","",IF(L284&gt;=K284,"Paga",IF(L284&gt;0,"Paga parcialmente",IF(C284&lt;$A$5,"Vencida","Prevista"))))</x:f>
      </x:c>
      <x:c r="O284" s="29" t="str">
        <x:f>IF(A284="","",$A$5-C284)</x:f>
      </x:c>
      <x:c r="P284" s="131" t="str">
        <x:f>IF(A284="","",IF(AND(O284&gt;0,MAX(K284-L284,0)&gt;0,N284&lt;&gt;"Paga"),ROUND(MAX(K284-L284,0)*'Parâmetros'!$B$34,2),0))</x:f>
      </x:c>
      <x:c r="Q284" s="131" t="str">
        <x:f>IF(A284="","",IF(AND(O284&gt;0,MAX(K284-L284,0)&gt;0,N284&lt;&gt;"Paga"),ROUND(MAX(K284-L284,0)*'Parâmetros'!$B$35*(O284/'Parâmetros'!$B$33),2),0))</x:f>
      </x:c>
      <x:c r="R284" s="131" t="str">
        <x:f>IF(A284="","",IF(O284&gt;0,ROUND(MAX(K284-L284,0)+P284+Q284,2),0))</x:f>
      </x:c>
      <x:c r="S284" s="131" t="str">
        <x:f>IF(A284="","",IF(OR(N284="Paga",O284&gt;0),0,ROUND(IF(K284=0,0,G284*MAX(K284-L284,0)/K284)/(1+'Parâmetros'!$C$13)^((C284-$A$5)/30),2)))</x:f>
      </x:c>
      <x:c r="T284" s="131" t="str">
        <x:f>IF(A284="","",0)</x:f>
      </x:c>
      <x:c r="U284" s="131" t="str">
        <x:f>IF(A284="","",0)</x:f>
      </x:c>
      <x:c r="V284" s="131" t="str">
        <x:f>IF(A284="","",IF(N284="Paga",0,IF(O284&gt;0,R284,S284)))</x:f>
      </x:c>
      <x:c r="W284" s="131" t="str">
        <x:f>IF(A284="","",ROUND(MAX(D284-F284,0),2))</x:f>
      </x:c>
      <x:c r="X284" s="131" t="str">
        <x:f>IF(A284="","",ROUND(SUM($G284:$G$407),2))</x:f>
      </x:c>
      <x:c r="Y284" s="131" t="str">
        <x:f>IF(A284="","",ROUND(MAX(X284-D284,0),2))</x:f>
      </x:c>
      <x:c r="Z284" s="131" t="str">
        <x:f>IF(A284="","",ROUND(SUM($V284:$V$407),2))</x:f>
      </x:c>
      <x:c r="AA284" s="131" t="str">
        <x:f>IF(A284="","",ROUND(SUM($K284:$K$407)-Z284,2))</x:f>
      </x:c>
      <x:c r="AB284" s="77"/>
      <x:c r="AC284" s="36" t="str">
        <x:f>IF(A284="","",IF(O284&gt;0,"Vencido: saldo da fatura + mora",IF(O284&lt;=0,"Vincendo: VP da parcela financeira; comissão/proteção futuras isentas","")))</x:f>
      </x:c>
    </x:row>
    <x:row r="285">
      <x:c r="A285" s="129" t="str">
        <x:f>IF(ROW()-7&lt;=Contrato!$C$16,ROW()-7,"")</x:f>
      </x:c>
      <x:c r="B285" s="129" t="str">
        <x:f>IF(A285="","",Contrato!$C$16)</x:f>
      </x:c>
      <x:c r="C285" s="130" t="str">
        <x:f>IF(A285="","",IF(AB285&lt;&gt;"",AB285,IF(Contrato!$C$14="Mensal",EDATE(Contrato!$C$13,A285-1),Contrato!$C$13+(A285-1)*IF(Contrato!$C$14="Quinzenal",14,IF(Contrato!$C$14="Semanal",7,1)))))</x:f>
      </x:c>
      <x:c r="D285" s="131" t="str">
        <x:f>IF(A285="","",W284)</x:f>
      </x:c>
      <x:c r="E285" s="131" t="str">
        <x:f>IF(A285="","",ROUND(D285*Simulador!$I$18,2))</x:f>
      </x:c>
      <x:c r="F285" s="131" t="str">
        <x:f>IF(A285="","",ROUND(MIN(D285,MAX(G285-E285,0)),2))</x:f>
      </x:c>
      <x:c r="G285" s="131" t="str">
        <x:f>IF(A285="","",IF(A285&lt;Contrato!$C$16,Contrato!$C$27,Contrato!$C$28))</x:f>
      </x:c>
      <x:c r="H285" s="131" t="str">
        <x:f>IF(A285="","",Contrato!$C$29)</x:f>
      </x:c>
      <x:c r="I285" s="131" t="str">
        <x:f>IF(A285="","",Contrato!$C$30)</x:f>
      </x:c>
      <x:c r="J285" s="131" t="str">
        <x:f>IF(A285="","",Contrato!$C$31)</x:f>
      </x:c>
      <x:c r="K285" s="131" t="str">
        <x:f>IF(A285="","",ROUND(SUM(G285:J285),2))</x:f>
      </x:c>
      <x:c r="L285" s="80"/>
      <x:c r="M285" s="77"/>
      <x:c r="N285" s="29" t="str">
        <x:f>IF(A285="","",IF(L285&gt;=K285,"Paga",IF(L285&gt;0,"Paga parcialmente",IF(C285&lt;$A$5,"Vencida","Prevista"))))</x:f>
      </x:c>
      <x:c r="O285" s="29" t="str">
        <x:f>IF(A285="","",$A$5-C285)</x:f>
      </x:c>
      <x:c r="P285" s="131" t="str">
        <x:f>IF(A285="","",IF(AND(O285&gt;0,MAX(K285-L285,0)&gt;0,N285&lt;&gt;"Paga"),ROUND(MAX(K285-L285,0)*'Parâmetros'!$B$34,2),0))</x:f>
      </x:c>
      <x:c r="Q285" s="131" t="str">
        <x:f>IF(A285="","",IF(AND(O285&gt;0,MAX(K285-L285,0)&gt;0,N285&lt;&gt;"Paga"),ROUND(MAX(K285-L285,0)*'Parâmetros'!$B$35*(O285/'Parâmetros'!$B$33),2),0))</x:f>
      </x:c>
      <x:c r="R285" s="131" t="str">
        <x:f>IF(A285="","",IF(O285&gt;0,ROUND(MAX(K285-L285,0)+P285+Q285,2),0))</x:f>
      </x:c>
      <x:c r="S285" s="131" t="str">
        <x:f>IF(A285="","",IF(OR(N285="Paga",O285&gt;0),0,ROUND(IF(K285=0,0,G285*MAX(K285-L285,0)/K285)/(1+'Parâmetros'!$C$13)^((C285-$A$5)/30),2)))</x:f>
      </x:c>
      <x:c r="T285" s="131" t="str">
        <x:f>IF(A285="","",0)</x:f>
      </x:c>
      <x:c r="U285" s="131" t="str">
        <x:f>IF(A285="","",0)</x:f>
      </x:c>
      <x:c r="V285" s="131" t="str">
        <x:f>IF(A285="","",IF(N285="Paga",0,IF(O285&gt;0,R285,S285)))</x:f>
      </x:c>
      <x:c r="W285" s="131" t="str">
        <x:f>IF(A285="","",ROUND(MAX(D285-F285,0),2))</x:f>
      </x:c>
      <x:c r="X285" s="131" t="str">
        <x:f>IF(A285="","",ROUND(SUM($G285:$G$407),2))</x:f>
      </x:c>
      <x:c r="Y285" s="131" t="str">
        <x:f>IF(A285="","",ROUND(MAX(X285-D285,0),2))</x:f>
      </x:c>
      <x:c r="Z285" s="131" t="str">
        <x:f>IF(A285="","",ROUND(SUM($V285:$V$407),2))</x:f>
      </x:c>
      <x:c r="AA285" s="131" t="str">
        <x:f>IF(A285="","",ROUND(SUM($K285:$K$407)-Z285,2))</x:f>
      </x:c>
      <x:c r="AB285" s="77"/>
      <x:c r="AC285" s="36" t="str">
        <x:f>IF(A285="","",IF(O285&gt;0,"Vencido: saldo da fatura + mora",IF(O285&lt;=0,"Vincendo: VP da parcela financeira; comissão/proteção futuras isentas","")))</x:f>
      </x:c>
    </x:row>
    <x:row r="286">
      <x:c r="A286" s="129" t="str">
        <x:f>IF(ROW()-7&lt;=Contrato!$C$16,ROW()-7,"")</x:f>
      </x:c>
      <x:c r="B286" s="129" t="str">
        <x:f>IF(A286="","",Contrato!$C$16)</x:f>
      </x:c>
      <x:c r="C286" s="130" t="str">
        <x:f>IF(A286="","",IF(AB286&lt;&gt;"",AB286,IF(Contrato!$C$14="Mensal",EDATE(Contrato!$C$13,A286-1),Contrato!$C$13+(A286-1)*IF(Contrato!$C$14="Quinzenal",14,IF(Contrato!$C$14="Semanal",7,1)))))</x:f>
      </x:c>
      <x:c r="D286" s="131" t="str">
        <x:f>IF(A286="","",W285)</x:f>
      </x:c>
      <x:c r="E286" s="131" t="str">
        <x:f>IF(A286="","",ROUND(D286*Simulador!$I$18,2))</x:f>
      </x:c>
      <x:c r="F286" s="131" t="str">
        <x:f>IF(A286="","",ROUND(MIN(D286,MAX(G286-E286,0)),2))</x:f>
      </x:c>
      <x:c r="G286" s="131" t="str">
        <x:f>IF(A286="","",IF(A286&lt;Contrato!$C$16,Contrato!$C$27,Contrato!$C$28))</x:f>
      </x:c>
      <x:c r="H286" s="131" t="str">
        <x:f>IF(A286="","",Contrato!$C$29)</x:f>
      </x:c>
      <x:c r="I286" s="131" t="str">
        <x:f>IF(A286="","",Contrato!$C$30)</x:f>
      </x:c>
      <x:c r="J286" s="131" t="str">
        <x:f>IF(A286="","",Contrato!$C$31)</x:f>
      </x:c>
      <x:c r="K286" s="131" t="str">
        <x:f>IF(A286="","",ROUND(SUM(G286:J286),2))</x:f>
      </x:c>
      <x:c r="L286" s="80"/>
      <x:c r="M286" s="77"/>
      <x:c r="N286" s="29" t="str">
        <x:f>IF(A286="","",IF(L286&gt;=K286,"Paga",IF(L286&gt;0,"Paga parcialmente",IF(C286&lt;$A$5,"Vencida","Prevista"))))</x:f>
      </x:c>
      <x:c r="O286" s="29" t="str">
        <x:f>IF(A286="","",$A$5-C286)</x:f>
      </x:c>
      <x:c r="P286" s="131" t="str">
        <x:f>IF(A286="","",IF(AND(O286&gt;0,MAX(K286-L286,0)&gt;0,N286&lt;&gt;"Paga"),ROUND(MAX(K286-L286,0)*'Parâmetros'!$B$34,2),0))</x:f>
      </x:c>
      <x:c r="Q286" s="131" t="str">
        <x:f>IF(A286="","",IF(AND(O286&gt;0,MAX(K286-L286,0)&gt;0,N286&lt;&gt;"Paga"),ROUND(MAX(K286-L286,0)*'Parâmetros'!$B$35*(O286/'Parâmetros'!$B$33),2),0))</x:f>
      </x:c>
      <x:c r="R286" s="131" t="str">
        <x:f>IF(A286="","",IF(O286&gt;0,ROUND(MAX(K286-L286,0)+P286+Q286,2),0))</x:f>
      </x:c>
      <x:c r="S286" s="131" t="str">
        <x:f>IF(A286="","",IF(OR(N286="Paga",O286&gt;0),0,ROUND(IF(K286=0,0,G286*MAX(K286-L286,0)/K286)/(1+'Parâmetros'!$C$13)^((C286-$A$5)/30),2)))</x:f>
      </x:c>
      <x:c r="T286" s="131" t="str">
        <x:f>IF(A286="","",0)</x:f>
      </x:c>
      <x:c r="U286" s="131" t="str">
        <x:f>IF(A286="","",0)</x:f>
      </x:c>
      <x:c r="V286" s="131" t="str">
        <x:f>IF(A286="","",IF(N286="Paga",0,IF(O286&gt;0,R286,S286)))</x:f>
      </x:c>
      <x:c r="W286" s="131" t="str">
        <x:f>IF(A286="","",ROUND(MAX(D286-F286,0),2))</x:f>
      </x:c>
      <x:c r="X286" s="131" t="str">
        <x:f>IF(A286="","",ROUND(SUM($G286:$G$407),2))</x:f>
      </x:c>
      <x:c r="Y286" s="131" t="str">
        <x:f>IF(A286="","",ROUND(MAX(X286-D286,0),2))</x:f>
      </x:c>
      <x:c r="Z286" s="131" t="str">
        <x:f>IF(A286="","",ROUND(SUM($V286:$V$407),2))</x:f>
      </x:c>
      <x:c r="AA286" s="131" t="str">
        <x:f>IF(A286="","",ROUND(SUM($K286:$K$407)-Z286,2))</x:f>
      </x:c>
      <x:c r="AB286" s="77"/>
      <x:c r="AC286" s="36" t="str">
        <x:f>IF(A286="","",IF(O286&gt;0,"Vencido: saldo da fatura + mora",IF(O286&lt;=0,"Vincendo: VP da parcela financeira; comissão/proteção futuras isentas","")))</x:f>
      </x:c>
    </x:row>
    <x:row r="287">
      <x:c r="A287" s="129" t="str">
        <x:f>IF(ROW()-7&lt;=Contrato!$C$16,ROW()-7,"")</x:f>
      </x:c>
      <x:c r="B287" s="129" t="str">
        <x:f>IF(A287="","",Contrato!$C$16)</x:f>
      </x:c>
      <x:c r="C287" s="130" t="str">
        <x:f>IF(A287="","",IF(AB287&lt;&gt;"",AB287,IF(Contrato!$C$14="Mensal",EDATE(Contrato!$C$13,A287-1),Contrato!$C$13+(A287-1)*IF(Contrato!$C$14="Quinzenal",14,IF(Contrato!$C$14="Semanal",7,1)))))</x:f>
      </x:c>
      <x:c r="D287" s="131" t="str">
        <x:f>IF(A287="","",W286)</x:f>
      </x:c>
      <x:c r="E287" s="131" t="str">
        <x:f>IF(A287="","",ROUND(D287*Simulador!$I$18,2))</x:f>
      </x:c>
      <x:c r="F287" s="131" t="str">
        <x:f>IF(A287="","",ROUND(MIN(D287,MAX(G287-E287,0)),2))</x:f>
      </x:c>
      <x:c r="G287" s="131" t="str">
        <x:f>IF(A287="","",IF(A287&lt;Contrato!$C$16,Contrato!$C$27,Contrato!$C$28))</x:f>
      </x:c>
      <x:c r="H287" s="131" t="str">
        <x:f>IF(A287="","",Contrato!$C$29)</x:f>
      </x:c>
      <x:c r="I287" s="131" t="str">
        <x:f>IF(A287="","",Contrato!$C$30)</x:f>
      </x:c>
      <x:c r="J287" s="131" t="str">
        <x:f>IF(A287="","",Contrato!$C$31)</x:f>
      </x:c>
      <x:c r="K287" s="131" t="str">
        <x:f>IF(A287="","",ROUND(SUM(G287:J287),2))</x:f>
      </x:c>
      <x:c r="L287" s="80"/>
      <x:c r="M287" s="77"/>
      <x:c r="N287" s="29" t="str">
        <x:f>IF(A287="","",IF(L287&gt;=K287,"Paga",IF(L287&gt;0,"Paga parcialmente",IF(C287&lt;$A$5,"Vencida","Prevista"))))</x:f>
      </x:c>
      <x:c r="O287" s="29" t="str">
        <x:f>IF(A287="","",$A$5-C287)</x:f>
      </x:c>
      <x:c r="P287" s="131" t="str">
        <x:f>IF(A287="","",IF(AND(O287&gt;0,MAX(K287-L287,0)&gt;0,N287&lt;&gt;"Paga"),ROUND(MAX(K287-L287,0)*'Parâmetros'!$B$34,2),0))</x:f>
      </x:c>
      <x:c r="Q287" s="131" t="str">
        <x:f>IF(A287="","",IF(AND(O287&gt;0,MAX(K287-L287,0)&gt;0,N287&lt;&gt;"Paga"),ROUND(MAX(K287-L287,0)*'Parâmetros'!$B$35*(O287/'Parâmetros'!$B$33),2),0))</x:f>
      </x:c>
      <x:c r="R287" s="131" t="str">
        <x:f>IF(A287="","",IF(O287&gt;0,ROUND(MAX(K287-L287,0)+P287+Q287,2),0))</x:f>
      </x:c>
      <x:c r="S287" s="131" t="str">
        <x:f>IF(A287="","",IF(OR(N287="Paga",O287&gt;0),0,ROUND(IF(K287=0,0,G287*MAX(K287-L287,0)/K287)/(1+'Parâmetros'!$C$13)^((C287-$A$5)/30),2)))</x:f>
      </x:c>
      <x:c r="T287" s="131" t="str">
        <x:f>IF(A287="","",0)</x:f>
      </x:c>
      <x:c r="U287" s="131" t="str">
        <x:f>IF(A287="","",0)</x:f>
      </x:c>
      <x:c r="V287" s="131" t="str">
        <x:f>IF(A287="","",IF(N287="Paga",0,IF(O287&gt;0,R287,S287)))</x:f>
      </x:c>
      <x:c r="W287" s="131" t="str">
        <x:f>IF(A287="","",ROUND(MAX(D287-F287,0),2))</x:f>
      </x:c>
      <x:c r="X287" s="131" t="str">
        <x:f>IF(A287="","",ROUND(SUM($G287:$G$407),2))</x:f>
      </x:c>
      <x:c r="Y287" s="131" t="str">
        <x:f>IF(A287="","",ROUND(MAX(X287-D287,0),2))</x:f>
      </x:c>
      <x:c r="Z287" s="131" t="str">
        <x:f>IF(A287="","",ROUND(SUM($V287:$V$407),2))</x:f>
      </x:c>
      <x:c r="AA287" s="131" t="str">
        <x:f>IF(A287="","",ROUND(SUM($K287:$K$407)-Z287,2))</x:f>
      </x:c>
      <x:c r="AB287" s="77"/>
      <x:c r="AC287" s="36" t="str">
        <x:f>IF(A287="","",IF(O287&gt;0,"Vencido: saldo da fatura + mora",IF(O287&lt;=0,"Vincendo: VP da parcela financeira; comissão/proteção futuras isentas","")))</x:f>
      </x:c>
    </x:row>
    <x:row r="288">
      <x:c r="A288" s="129" t="str">
        <x:f>IF(ROW()-7&lt;=Contrato!$C$16,ROW()-7,"")</x:f>
      </x:c>
      <x:c r="B288" s="129" t="str">
        <x:f>IF(A288="","",Contrato!$C$16)</x:f>
      </x:c>
      <x:c r="C288" s="130" t="str">
        <x:f>IF(A288="","",IF(AB288&lt;&gt;"",AB288,IF(Contrato!$C$14="Mensal",EDATE(Contrato!$C$13,A288-1),Contrato!$C$13+(A288-1)*IF(Contrato!$C$14="Quinzenal",14,IF(Contrato!$C$14="Semanal",7,1)))))</x:f>
      </x:c>
      <x:c r="D288" s="131" t="str">
        <x:f>IF(A288="","",W287)</x:f>
      </x:c>
      <x:c r="E288" s="131" t="str">
        <x:f>IF(A288="","",ROUND(D288*Simulador!$I$18,2))</x:f>
      </x:c>
      <x:c r="F288" s="131" t="str">
        <x:f>IF(A288="","",ROUND(MIN(D288,MAX(G288-E288,0)),2))</x:f>
      </x:c>
      <x:c r="G288" s="131" t="str">
        <x:f>IF(A288="","",IF(A288&lt;Contrato!$C$16,Contrato!$C$27,Contrato!$C$28))</x:f>
      </x:c>
      <x:c r="H288" s="131" t="str">
        <x:f>IF(A288="","",Contrato!$C$29)</x:f>
      </x:c>
      <x:c r="I288" s="131" t="str">
        <x:f>IF(A288="","",Contrato!$C$30)</x:f>
      </x:c>
      <x:c r="J288" s="131" t="str">
        <x:f>IF(A288="","",Contrato!$C$31)</x:f>
      </x:c>
      <x:c r="K288" s="131" t="str">
        <x:f>IF(A288="","",ROUND(SUM(G288:J288),2))</x:f>
      </x:c>
      <x:c r="L288" s="80"/>
      <x:c r="M288" s="77"/>
      <x:c r="N288" s="29" t="str">
        <x:f>IF(A288="","",IF(L288&gt;=K288,"Paga",IF(L288&gt;0,"Paga parcialmente",IF(C288&lt;$A$5,"Vencida","Prevista"))))</x:f>
      </x:c>
      <x:c r="O288" s="29" t="str">
        <x:f>IF(A288="","",$A$5-C288)</x:f>
      </x:c>
      <x:c r="P288" s="131" t="str">
        <x:f>IF(A288="","",IF(AND(O288&gt;0,MAX(K288-L288,0)&gt;0,N288&lt;&gt;"Paga"),ROUND(MAX(K288-L288,0)*'Parâmetros'!$B$34,2),0))</x:f>
      </x:c>
      <x:c r="Q288" s="131" t="str">
        <x:f>IF(A288="","",IF(AND(O288&gt;0,MAX(K288-L288,0)&gt;0,N288&lt;&gt;"Paga"),ROUND(MAX(K288-L288,0)*'Parâmetros'!$B$35*(O288/'Parâmetros'!$B$33),2),0))</x:f>
      </x:c>
      <x:c r="R288" s="131" t="str">
        <x:f>IF(A288="","",IF(O288&gt;0,ROUND(MAX(K288-L288,0)+P288+Q288,2),0))</x:f>
      </x:c>
      <x:c r="S288" s="131" t="str">
        <x:f>IF(A288="","",IF(OR(N288="Paga",O288&gt;0),0,ROUND(IF(K288=0,0,G288*MAX(K288-L288,0)/K288)/(1+'Parâmetros'!$C$13)^((C288-$A$5)/30),2)))</x:f>
      </x:c>
      <x:c r="T288" s="131" t="str">
        <x:f>IF(A288="","",0)</x:f>
      </x:c>
      <x:c r="U288" s="131" t="str">
        <x:f>IF(A288="","",0)</x:f>
      </x:c>
      <x:c r="V288" s="131" t="str">
        <x:f>IF(A288="","",IF(N288="Paga",0,IF(O288&gt;0,R288,S288)))</x:f>
      </x:c>
      <x:c r="W288" s="131" t="str">
        <x:f>IF(A288="","",ROUND(MAX(D288-F288,0),2))</x:f>
      </x:c>
      <x:c r="X288" s="131" t="str">
        <x:f>IF(A288="","",ROUND(SUM($G288:$G$407),2))</x:f>
      </x:c>
      <x:c r="Y288" s="131" t="str">
        <x:f>IF(A288="","",ROUND(MAX(X288-D288,0),2))</x:f>
      </x:c>
      <x:c r="Z288" s="131" t="str">
        <x:f>IF(A288="","",ROUND(SUM($V288:$V$407),2))</x:f>
      </x:c>
      <x:c r="AA288" s="131" t="str">
        <x:f>IF(A288="","",ROUND(SUM($K288:$K$407)-Z288,2))</x:f>
      </x:c>
      <x:c r="AB288" s="77"/>
      <x:c r="AC288" s="36" t="str">
        <x:f>IF(A288="","",IF(O288&gt;0,"Vencido: saldo da fatura + mora",IF(O288&lt;=0,"Vincendo: VP da parcela financeira; comissão/proteção futuras isentas","")))</x:f>
      </x:c>
    </x:row>
    <x:row r="289">
      <x:c r="A289" s="129" t="str">
        <x:f>IF(ROW()-7&lt;=Contrato!$C$16,ROW()-7,"")</x:f>
      </x:c>
      <x:c r="B289" s="129" t="str">
        <x:f>IF(A289="","",Contrato!$C$16)</x:f>
      </x:c>
      <x:c r="C289" s="130" t="str">
        <x:f>IF(A289="","",IF(AB289&lt;&gt;"",AB289,IF(Contrato!$C$14="Mensal",EDATE(Contrato!$C$13,A289-1),Contrato!$C$13+(A289-1)*IF(Contrato!$C$14="Quinzenal",14,IF(Contrato!$C$14="Semanal",7,1)))))</x:f>
      </x:c>
      <x:c r="D289" s="131" t="str">
        <x:f>IF(A289="","",W288)</x:f>
      </x:c>
      <x:c r="E289" s="131" t="str">
        <x:f>IF(A289="","",ROUND(D289*Simulador!$I$18,2))</x:f>
      </x:c>
      <x:c r="F289" s="131" t="str">
        <x:f>IF(A289="","",ROUND(MIN(D289,MAX(G289-E289,0)),2))</x:f>
      </x:c>
      <x:c r="G289" s="131" t="str">
        <x:f>IF(A289="","",IF(A289&lt;Contrato!$C$16,Contrato!$C$27,Contrato!$C$28))</x:f>
      </x:c>
      <x:c r="H289" s="131" t="str">
        <x:f>IF(A289="","",Contrato!$C$29)</x:f>
      </x:c>
      <x:c r="I289" s="131" t="str">
        <x:f>IF(A289="","",Contrato!$C$30)</x:f>
      </x:c>
      <x:c r="J289" s="131" t="str">
        <x:f>IF(A289="","",Contrato!$C$31)</x:f>
      </x:c>
      <x:c r="K289" s="131" t="str">
        <x:f>IF(A289="","",ROUND(SUM(G289:J289),2))</x:f>
      </x:c>
      <x:c r="L289" s="80"/>
      <x:c r="M289" s="77"/>
      <x:c r="N289" s="29" t="str">
        <x:f>IF(A289="","",IF(L289&gt;=K289,"Paga",IF(L289&gt;0,"Paga parcialmente",IF(C289&lt;$A$5,"Vencida","Prevista"))))</x:f>
      </x:c>
      <x:c r="O289" s="29" t="str">
        <x:f>IF(A289="","",$A$5-C289)</x:f>
      </x:c>
      <x:c r="P289" s="131" t="str">
        <x:f>IF(A289="","",IF(AND(O289&gt;0,MAX(K289-L289,0)&gt;0,N289&lt;&gt;"Paga"),ROUND(MAX(K289-L289,0)*'Parâmetros'!$B$34,2),0))</x:f>
      </x:c>
      <x:c r="Q289" s="131" t="str">
        <x:f>IF(A289="","",IF(AND(O289&gt;0,MAX(K289-L289,0)&gt;0,N289&lt;&gt;"Paga"),ROUND(MAX(K289-L289,0)*'Parâmetros'!$B$35*(O289/'Parâmetros'!$B$33),2),0))</x:f>
      </x:c>
      <x:c r="R289" s="131" t="str">
        <x:f>IF(A289="","",IF(O289&gt;0,ROUND(MAX(K289-L289,0)+P289+Q289,2),0))</x:f>
      </x:c>
      <x:c r="S289" s="131" t="str">
        <x:f>IF(A289="","",IF(OR(N289="Paga",O289&gt;0),0,ROUND(IF(K289=0,0,G289*MAX(K289-L289,0)/K289)/(1+'Parâmetros'!$C$13)^((C289-$A$5)/30),2)))</x:f>
      </x:c>
      <x:c r="T289" s="131" t="str">
        <x:f>IF(A289="","",0)</x:f>
      </x:c>
      <x:c r="U289" s="131" t="str">
        <x:f>IF(A289="","",0)</x:f>
      </x:c>
      <x:c r="V289" s="131" t="str">
        <x:f>IF(A289="","",IF(N289="Paga",0,IF(O289&gt;0,R289,S289)))</x:f>
      </x:c>
      <x:c r="W289" s="131" t="str">
        <x:f>IF(A289="","",ROUND(MAX(D289-F289,0),2))</x:f>
      </x:c>
      <x:c r="X289" s="131" t="str">
        <x:f>IF(A289="","",ROUND(SUM($G289:$G$407),2))</x:f>
      </x:c>
      <x:c r="Y289" s="131" t="str">
        <x:f>IF(A289="","",ROUND(MAX(X289-D289,0),2))</x:f>
      </x:c>
      <x:c r="Z289" s="131" t="str">
        <x:f>IF(A289="","",ROUND(SUM($V289:$V$407),2))</x:f>
      </x:c>
      <x:c r="AA289" s="131" t="str">
        <x:f>IF(A289="","",ROUND(SUM($K289:$K$407)-Z289,2))</x:f>
      </x:c>
      <x:c r="AB289" s="77"/>
      <x:c r="AC289" s="36" t="str">
        <x:f>IF(A289="","",IF(O289&gt;0,"Vencido: saldo da fatura + mora",IF(O289&lt;=0,"Vincendo: VP da parcela financeira; comissão/proteção futuras isentas","")))</x:f>
      </x:c>
    </x:row>
    <x:row r="290">
      <x:c r="A290" s="129" t="str">
        <x:f>IF(ROW()-7&lt;=Contrato!$C$16,ROW()-7,"")</x:f>
      </x:c>
      <x:c r="B290" s="129" t="str">
        <x:f>IF(A290="","",Contrato!$C$16)</x:f>
      </x:c>
      <x:c r="C290" s="130" t="str">
        <x:f>IF(A290="","",IF(AB290&lt;&gt;"",AB290,IF(Contrato!$C$14="Mensal",EDATE(Contrato!$C$13,A290-1),Contrato!$C$13+(A290-1)*IF(Contrato!$C$14="Quinzenal",14,IF(Contrato!$C$14="Semanal",7,1)))))</x:f>
      </x:c>
      <x:c r="D290" s="131" t="str">
        <x:f>IF(A290="","",W289)</x:f>
      </x:c>
      <x:c r="E290" s="131" t="str">
        <x:f>IF(A290="","",ROUND(D290*Simulador!$I$18,2))</x:f>
      </x:c>
      <x:c r="F290" s="131" t="str">
        <x:f>IF(A290="","",ROUND(MIN(D290,MAX(G290-E290,0)),2))</x:f>
      </x:c>
      <x:c r="G290" s="131" t="str">
        <x:f>IF(A290="","",IF(A290&lt;Contrato!$C$16,Contrato!$C$27,Contrato!$C$28))</x:f>
      </x:c>
      <x:c r="H290" s="131" t="str">
        <x:f>IF(A290="","",Contrato!$C$29)</x:f>
      </x:c>
      <x:c r="I290" s="131" t="str">
        <x:f>IF(A290="","",Contrato!$C$30)</x:f>
      </x:c>
      <x:c r="J290" s="131" t="str">
        <x:f>IF(A290="","",Contrato!$C$31)</x:f>
      </x:c>
      <x:c r="K290" s="131" t="str">
        <x:f>IF(A290="","",ROUND(SUM(G290:J290),2))</x:f>
      </x:c>
      <x:c r="L290" s="80"/>
      <x:c r="M290" s="77"/>
      <x:c r="N290" s="29" t="str">
        <x:f>IF(A290="","",IF(L290&gt;=K290,"Paga",IF(L290&gt;0,"Paga parcialmente",IF(C290&lt;$A$5,"Vencida","Prevista"))))</x:f>
      </x:c>
      <x:c r="O290" s="29" t="str">
        <x:f>IF(A290="","",$A$5-C290)</x:f>
      </x:c>
      <x:c r="P290" s="131" t="str">
        <x:f>IF(A290="","",IF(AND(O290&gt;0,MAX(K290-L290,0)&gt;0,N290&lt;&gt;"Paga"),ROUND(MAX(K290-L290,0)*'Parâmetros'!$B$34,2),0))</x:f>
      </x:c>
      <x:c r="Q290" s="131" t="str">
        <x:f>IF(A290="","",IF(AND(O290&gt;0,MAX(K290-L290,0)&gt;0,N290&lt;&gt;"Paga"),ROUND(MAX(K290-L290,0)*'Parâmetros'!$B$35*(O290/'Parâmetros'!$B$33),2),0))</x:f>
      </x:c>
      <x:c r="R290" s="131" t="str">
        <x:f>IF(A290="","",IF(O290&gt;0,ROUND(MAX(K290-L290,0)+P290+Q290,2),0))</x:f>
      </x:c>
      <x:c r="S290" s="131" t="str">
        <x:f>IF(A290="","",IF(OR(N290="Paga",O290&gt;0),0,ROUND(IF(K290=0,0,G290*MAX(K290-L290,0)/K290)/(1+'Parâmetros'!$C$13)^((C290-$A$5)/30),2)))</x:f>
      </x:c>
      <x:c r="T290" s="131" t="str">
        <x:f>IF(A290="","",0)</x:f>
      </x:c>
      <x:c r="U290" s="131" t="str">
        <x:f>IF(A290="","",0)</x:f>
      </x:c>
      <x:c r="V290" s="131" t="str">
        <x:f>IF(A290="","",IF(N290="Paga",0,IF(O290&gt;0,R290,S290)))</x:f>
      </x:c>
      <x:c r="W290" s="131" t="str">
        <x:f>IF(A290="","",ROUND(MAX(D290-F290,0),2))</x:f>
      </x:c>
      <x:c r="X290" s="131" t="str">
        <x:f>IF(A290="","",ROUND(SUM($G290:$G$407),2))</x:f>
      </x:c>
      <x:c r="Y290" s="131" t="str">
        <x:f>IF(A290="","",ROUND(MAX(X290-D290,0),2))</x:f>
      </x:c>
      <x:c r="Z290" s="131" t="str">
        <x:f>IF(A290="","",ROUND(SUM($V290:$V$407),2))</x:f>
      </x:c>
      <x:c r="AA290" s="131" t="str">
        <x:f>IF(A290="","",ROUND(SUM($K290:$K$407)-Z290,2))</x:f>
      </x:c>
      <x:c r="AB290" s="77"/>
      <x:c r="AC290" s="36" t="str">
        <x:f>IF(A290="","",IF(O290&gt;0,"Vencido: saldo da fatura + mora",IF(O290&lt;=0,"Vincendo: VP da parcela financeira; comissão/proteção futuras isentas","")))</x:f>
      </x:c>
    </x:row>
    <x:row r="291">
      <x:c r="A291" s="129" t="str">
        <x:f>IF(ROW()-7&lt;=Contrato!$C$16,ROW()-7,"")</x:f>
      </x:c>
      <x:c r="B291" s="129" t="str">
        <x:f>IF(A291="","",Contrato!$C$16)</x:f>
      </x:c>
      <x:c r="C291" s="130" t="str">
        <x:f>IF(A291="","",IF(AB291&lt;&gt;"",AB291,IF(Contrato!$C$14="Mensal",EDATE(Contrato!$C$13,A291-1),Contrato!$C$13+(A291-1)*IF(Contrato!$C$14="Quinzenal",14,IF(Contrato!$C$14="Semanal",7,1)))))</x:f>
      </x:c>
      <x:c r="D291" s="131" t="str">
        <x:f>IF(A291="","",W290)</x:f>
      </x:c>
      <x:c r="E291" s="131" t="str">
        <x:f>IF(A291="","",ROUND(D291*Simulador!$I$18,2))</x:f>
      </x:c>
      <x:c r="F291" s="131" t="str">
        <x:f>IF(A291="","",ROUND(MIN(D291,MAX(G291-E291,0)),2))</x:f>
      </x:c>
      <x:c r="G291" s="131" t="str">
        <x:f>IF(A291="","",IF(A291&lt;Contrato!$C$16,Contrato!$C$27,Contrato!$C$28))</x:f>
      </x:c>
      <x:c r="H291" s="131" t="str">
        <x:f>IF(A291="","",Contrato!$C$29)</x:f>
      </x:c>
      <x:c r="I291" s="131" t="str">
        <x:f>IF(A291="","",Contrato!$C$30)</x:f>
      </x:c>
      <x:c r="J291" s="131" t="str">
        <x:f>IF(A291="","",Contrato!$C$31)</x:f>
      </x:c>
      <x:c r="K291" s="131" t="str">
        <x:f>IF(A291="","",ROUND(SUM(G291:J291),2))</x:f>
      </x:c>
      <x:c r="L291" s="80"/>
      <x:c r="M291" s="77"/>
      <x:c r="N291" s="29" t="str">
        <x:f>IF(A291="","",IF(L291&gt;=K291,"Paga",IF(L291&gt;0,"Paga parcialmente",IF(C291&lt;$A$5,"Vencida","Prevista"))))</x:f>
      </x:c>
      <x:c r="O291" s="29" t="str">
        <x:f>IF(A291="","",$A$5-C291)</x:f>
      </x:c>
      <x:c r="P291" s="131" t="str">
        <x:f>IF(A291="","",IF(AND(O291&gt;0,MAX(K291-L291,0)&gt;0,N291&lt;&gt;"Paga"),ROUND(MAX(K291-L291,0)*'Parâmetros'!$B$34,2),0))</x:f>
      </x:c>
      <x:c r="Q291" s="131" t="str">
        <x:f>IF(A291="","",IF(AND(O291&gt;0,MAX(K291-L291,0)&gt;0,N291&lt;&gt;"Paga"),ROUND(MAX(K291-L291,0)*'Parâmetros'!$B$35*(O291/'Parâmetros'!$B$33),2),0))</x:f>
      </x:c>
      <x:c r="R291" s="131" t="str">
        <x:f>IF(A291="","",IF(O291&gt;0,ROUND(MAX(K291-L291,0)+P291+Q291,2),0))</x:f>
      </x:c>
      <x:c r="S291" s="131" t="str">
        <x:f>IF(A291="","",IF(OR(N291="Paga",O291&gt;0),0,ROUND(IF(K291=0,0,G291*MAX(K291-L291,0)/K291)/(1+'Parâmetros'!$C$13)^((C291-$A$5)/30),2)))</x:f>
      </x:c>
      <x:c r="T291" s="131" t="str">
        <x:f>IF(A291="","",0)</x:f>
      </x:c>
      <x:c r="U291" s="131" t="str">
        <x:f>IF(A291="","",0)</x:f>
      </x:c>
      <x:c r="V291" s="131" t="str">
        <x:f>IF(A291="","",IF(N291="Paga",0,IF(O291&gt;0,R291,S291)))</x:f>
      </x:c>
      <x:c r="W291" s="131" t="str">
        <x:f>IF(A291="","",ROUND(MAX(D291-F291,0),2))</x:f>
      </x:c>
      <x:c r="X291" s="131" t="str">
        <x:f>IF(A291="","",ROUND(SUM($G291:$G$407),2))</x:f>
      </x:c>
      <x:c r="Y291" s="131" t="str">
        <x:f>IF(A291="","",ROUND(MAX(X291-D291,0),2))</x:f>
      </x:c>
      <x:c r="Z291" s="131" t="str">
        <x:f>IF(A291="","",ROUND(SUM($V291:$V$407),2))</x:f>
      </x:c>
      <x:c r="AA291" s="131" t="str">
        <x:f>IF(A291="","",ROUND(SUM($K291:$K$407)-Z291,2))</x:f>
      </x:c>
      <x:c r="AB291" s="77"/>
      <x:c r="AC291" s="36" t="str">
        <x:f>IF(A291="","",IF(O291&gt;0,"Vencido: saldo da fatura + mora",IF(O291&lt;=0,"Vincendo: VP da parcela financeira; comissão/proteção futuras isentas","")))</x:f>
      </x:c>
    </x:row>
    <x:row r="292">
      <x:c r="A292" s="129" t="str">
        <x:f>IF(ROW()-7&lt;=Contrato!$C$16,ROW()-7,"")</x:f>
      </x:c>
      <x:c r="B292" s="129" t="str">
        <x:f>IF(A292="","",Contrato!$C$16)</x:f>
      </x:c>
      <x:c r="C292" s="130" t="str">
        <x:f>IF(A292="","",IF(AB292&lt;&gt;"",AB292,IF(Contrato!$C$14="Mensal",EDATE(Contrato!$C$13,A292-1),Contrato!$C$13+(A292-1)*IF(Contrato!$C$14="Quinzenal",14,IF(Contrato!$C$14="Semanal",7,1)))))</x:f>
      </x:c>
      <x:c r="D292" s="131" t="str">
        <x:f>IF(A292="","",W291)</x:f>
      </x:c>
      <x:c r="E292" s="131" t="str">
        <x:f>IF(A292="","",ROUND(D292*Simulador!$I$18,2))</x:f>
      </x:c>
      <x:c r="F292" s="131" t="str">
        <x:f>IF(A292="","",ROUND(MIN(D292,MAX(G292-E292,0)),2))</x:f>
      </x:c>
      <x:c r="G292" s="131" t="str">
        <x:f>IF(A292="","",IF(A292&lt;Contrato!$C$16,Contrato!$C$27,Contrato!$C$28))</x:f>
      </x:c>
      <x:c r="H292" s="131" t="str">
        <x:f>IF(A292="","",Contrato!$C$29)</x:f>
      </x:c>
      <x:c r="I292" s="131" t="str">
        <x:f>IF(A292="","",Contrato!$C$30)</x:f>
      </x:c>
      <x:c r="J292" s="131" t="str">
        <x:f>IF(A292="","",Contrato!$C$31)</x:f>
      </x:c>
      <x:c r="K292" s="131" t="str">
        <x:f>IF(A292="","",ROUND(SUM(G292:J292),2))</x:f>
      </x:c>
      <x:c r="L292" s="80"/>
      <x:c r="M292" s="77"/>
      <x:c r="N292" s="29" t="str">
        <x:f>IF(A292="","",IF(L292&gt;=K292,"Paga",IF(L292&gt;0,"Paga parcialmente",IF(C292&lt;$A$5,"Vencida","Prevista"))))</x:f>
      </x:c>
      <x:c r="O292" s="29" t="str">
        <x:f>IF(A292="","",$A$5-C292)</x:f>
      </x:c>
      <x:c r="P292" s="131" t="str">
        <x:f>IF(A292="","",IF(AND(O292&gt;0,MAX(K292-L292,0)&gt;0,N292&lt;&gt;"Paga"),ROUND(MAX(K292-L292,0)*'Parâmetros'!$B$34,2),0))</x:f>
      </x:c>
      <x:c r="Q292" s="131" t="str">
        <x:f>IF(A292="","",IF(AND(O292&gt;0,MAX(K292-L292,0)&gt;0,N292&lt;&gt;"Paga"),ROUND(MAX(K292-L292,0)*'Parâmetros'!$B$35*(O292/'Parâmetros'!$B$33),2),0))</x:f>
      </x:c>
      <x:c r="R292" s="131" t="str">
        <x:f>IF(A292="","",IF(O292&gt;0,ROUND(MAX(K292-L292,0)+P292+Q292,2),0))</x:f>
      </x:c>
      <x:c r="S292" s="131" t="str">
        <x:f>IF(A292="","",IF(OR(N292="Paga",O292&gt;0),0,ROUND(IF(K292=0,0,G292*MAX(K292-L292,0)/K292)/(1+'Parâmetros'!$C$13)^((C292-$A$5)/30),2)))</x:f>
      </x:c>
      <x:c r="T292" s="131" t="str">
        <x:f>IF(A292="","",0)</x:f>
      </x:c>
      <x:c r="U292" s="131" t="str">
        <x:f>IF(A292="","",0)</x:f>
      </x:c>
      <x:c r="V292" s="131" t="str">
        <x:f>IF(A292="","",IF(N292="Paga",0,IF(O292&gt;0,R292,S292)))</x:f>
      </x:c>
      <x:c r="W292" s="131" t="str">
        <x:f>IF(A292="","",ROUND(MAX(D292-F292,0),2))</x:f>
      </x:c>
      <x:c r="X292" s="131" t="str">
        <x:f>IF(A292="","",ROUND(SUM($G292:$G$407),2))</x:f>
      </x:c>
      <x:c r="Y292" s="131" t="str">
        <x:f>IF(A292="","",ROUND(MAX(X292-D292,0),2))</x:f>
      </x:c>
      <x:c r="Z292" s="131" t="str">
        <x:f>IF(A292="","",ROUND(SUM($V292:$V$407),2))</x:f>
      </x:c>
      <x:c r="AA292" s="131" t="str">
        <x:f>IF(A292="","",ROUND(SUM($K292:$K$407)-Z292,2))</x:f>
      </x:c>
      <x:c r="AB292" s="77"/>
      <x:c r="AC292" s="36" t="str">
        <x:f>IF(A292="","",IF(O292&gt;0,"Vencido: saldo da fatura + mora",IF(O292&lt;=0,"Vincendo: VP da parcela financeira; comissão/proteção futuras isentas","")))</x:f>
      </x:c>
    </x:row>
    <x:row r="293">
      <x:c r="A293" s="129" t="str">
        <x:f>IF(ROW()-7&lt;=Contrato!$C$16,ROW()-7,"")</x:f>
      </x:c>
      <x:c r="B293" s="129" t="str">
        <x:f>IF(A293="","",Contrato!$C$16)</x:f>
      </x:c>
      <x:c r="C293" s="130" t="str">
        <x:f>IF(A293="","",IF(AB293&lt;&gt;"",AB293,IF(Contrato!$C$14="Mensal",EDATE(Contrato!$C$13,A293-1),Contrato!$C$13+(A293-1)*IF(Contrato!$C$14="Quinzenal",14,IF(Contrato!$C$14="Semanal",7,1)))))</x:f>
      </x:c>
      <x:c r="D293" s="131" t="str">
        <x:f>IF(A293="","",W292)</x:f>
      </x:c>
      <x:c r="E293" s="131" t="str">
        <x:f>IF(A293="","",ROUND(D293*Simulador!$I$18,2))</x:f>
      </x:c>
      <x:c r="F293" s="131" t="str">
        <x:f>IF(A293="","",ROUND(MIN(D293,MAX(G293-E293,0)),2))</x:f>
      </x:c>
      <x:c r="G293" s="131" t="str">
        <x:f>IF(A293="","",IF(A293&lt;Contrato!$C$16,Contrato!$C$27,Contrato!$C$28))</x:f>
      </x:c>
      <x:c r="H293" s="131" t="str">
        <x:f>IF(A293="","",Contrato!$C$29)</x:f>
      </x:c>
      <x:c r="I293" s="131" t="str">
        <x:f>IF(A293="","",Contrato!$C$30)</x:f>
      </x:c>
      <x:c r="J293" s="131" t="str">
        <x:f>IF(A293="","",Contrato!$C$31)</x:f>
      </x:c>
      <x:c r="K293" s="131" t="str">
        <x:f>IF(A293="","",ROUND(SUM(G293:J293),2))</x:f>
      </x:c>
      <x:c r="L293" s="80"/>
      <x:c r="M293" s="77"/>
      <x:c r="N293" s="29" t="str">
        <x:f>IF(A293="","",IF(L293&gt;=K293,"Paga",IF(L293&gt;0,"Paga parcialmente",IF(C293&lt;$A$5,"Vencida","Prevista"))))</x:f>
      </x:c>
      <x:c r="O293" s="29" t="str">
        <x:f>IF(A293="","",$A$5-C293)</x:f>
      </x:c>
      <x:c r="P293" s="131" t="str">
        <x:f>IF(A293="","",IF(AND(O293&gt;0,MAX(K293-L293,0)&gt;0,N293&lt;&gt;"Paga"),ROUND(MAX(K293-L293,0)*'Parâmetros'!$B$34,2),0))</x:f>
      </x:c>
      <x:c r="Q293" s="131" t="str">
        <x:f>IF(A293="","",IF(AND(O293&gt;0,MAX(K293-L293,0)&gt;0,N293&lt;&gt;"Paga"),ROUND(MAX(K293-L293,0)*'Parâmetros'!$B$35*(O293/'Parâmetros'!$B$33),2),0))</x:f>
      </x:c>
      <x:c r="R293" s="131" t="str">
        <x:f>IF(A293="","",IF(O293&gt;0,ROUND(MAX(K293-L293,0)+P293+Q293,2),0))</x:f>
      </x:c>
      <x:c r="S293" s="131" t="str">
        <x:f>IF(A293="","",IF(OR(N293="Paga",O293&gt;0),0,ROUND(IF(K293=0,0,G293*MAX(K293-L293,0)/K293)/(1+'Parâmetros'!$C$13)^((C293-$A$5)/30),2)))</x:f>
      </x:c>
      <x:c r="T293" s="131" t="str">
        <x:f>IF(A293="","",0)</x:f>
      </x:c>
      <x:c r="U293" s="131" t="str">
        <x:f>IF(A293="","",0)</x:f>
      </x:c>
      <x:c r="V293" s="131" t="str">
        <x:f>IF(A293="","",IF(N293="Paga",0,IF(O293&gt;0,R293,S293)))</x:f>
      </x:c>
      <x:c r="W293" s="131" t="str">
        <x:f>IF(A293="","",ROUND(MAX(D293-F293,0),2))</x:f>
      </x:c>
      <x:c r="X293" s="131" t="str">
        <x:f>IF(A293="","",ROUND(SUM($G293:$G$407),2))</x:f>
      </x:c>
      <x:c r="Y293" s="131" t="str">
        <x:f>IF(A293="","",ROUND(MAX(X293-D293,0),2))</x:f>
      </x:c>
      <x:c r="Z293" s="131" t="str">
        <x:f>IF(A293="","",ROUND(SUM($V293:$V$407),2))</x:f>
      </x:c>
      <x:c r="AA293" s="131" t="str">
        <x:f>IF(A293="","",ROUND(SUM($K293:$K$407)-Z293,2))</x:f>
      </x:c>
      <x:c r="AB293" s="77"/>
      <x:c r="AC293" s="36" t="str">
        <x:f>IF(A293="","",IF(O293&gt;0,"Vencido: saldo da fatura + mora",IF(O293&lt;=0,"Vincendo: VP da parcela financeira; comissão/proteção futuras isentas","")))</x:f>
      </x:c>
    </x:row>
    <x:row r="294">
      <x:c r="A294" s="129" t="str">
        <x:f>IF(ROW()-7&lt;=Contrato!$C$16,ROW()-7,"")</x:f>
      </x:c>
      <x:c r="B294" s="129" t="str">
        <x:f>IF(A294="","",Contrato!$C$16)</x:f>
      </x:c>
      <x:c r="C294" s="130" t="str">
        <x:f>IF(A294="","",IF(AB294&lt;&gt;"",AB294,IF(Contrato!$C$14="Mensal",EDATE(Contrato!$C$13,A294-1),Contrato!$C$13+(A294-1)*IF(Contrato!$C$14="Quinzenal",14,IF(Contrato!$C$14="Semanal",7,1)))))</x:f>
      </x:c>
      <x:c r="D294" s="131" t="str">
        <x:f>IF(A294="","",W293)</x:f>
      </x:c>
      <x:c r="E294" s="131" t="str">
        <x:f>IF(A294="","",ROUND(D294*Simulador!$I$18,2))</x:f>
      </x:c>
      <x:c r="F294" s="131" t="str">
        <x:f>IF(A294="","",ROUND(MIN(D294,MAX(G294-E294,0)),2))</x:f>
      </x:c>
      <x:c r="G294" s="131" t="str">
        <x:f>IF(A294="","",IF(A294&lt;Contrato!$C$16,Contrato!$C$27,Contrato!$C$28))</x:f>
      </x:c>
      <x:c r="H294" s="131" t="str">
        <x:f>IF(A294="","",Contrato!$C$29)</x:f>
      </x:c>
      <x:c r="I294" s="131" t="str">
        <x:f>IF(A294="","",Contrato!$C$30)</x:f>
      </x:c>
      <x:c r="J294" s="131" t="str">
        <x:f>IF(A294="","",Contrato!$C$31)</x:f>
      </x:c>
      <x:c r="K294" s="131" t="str">
        <x:f>IF(A294="","",ROUND(SUM(G294:J294),2))</x:f>
      </x:c>
      <x:c r="L294" s="80"/>
      <x:c r="M294" s="77"/>
      <x:c r="N294" s="29" t="str">
        <x:f>IF(A294="","",IF(L294&gt;=K294,"Paga",IF(L294&gt;0,"Paga parcialmente",IF(C294&lt;$A$5,"Vencida","Prevista"))))</x:f>
      </x:c>
      <x:c r="O294" s="29" t="str">
        <x:f>IF(A294="","",$A$5-C294)</x:f>
      </x:c>
      <x:c r="P294" s="131" t="str">
        <x:f>IF(A294="","",IF(AND(O294&gt;0,MAX(K294-L294,0)&gt;0,N294&lt;&gt;"Paga"),ROUND(MAX(K294-L294,0)*'Parâmetros'!$B$34,2),0))</x:f>
      </x:c>
      <x:c r="Q294" s="131" t="str">
        <x:f>IF(A294="","",IF(AND(O294&gt;0,MAX(K294-L294,0)&gt;0,N294&lt;&gt;"Paga"),ROUND(MAX(K294-L294,0)*'Parâmetros'!$B$35*(O294/'Parâmetros'!$B$33),2),0))</x:f>
      </x:c>
      <x:c r="R294" s="131" t="str">
        <x:f>IF(A294="","",IF(O294&gt;0,ROUND(MAX(K294-L294,0)+P294+Q294,2),0))</x:f>
      </x:c>
      <x:c r="S294" s="131" t="str">
        <x:f>IF(A294="","",IF(OR(N294="Paga",O294&gt;0),0,ROUND(IF(K294=0,0,G294*MAX(K294-L294,0)/K294)/(1+'Parâmetros'!$C$13)^((C294-$A$5)/30),2)))</x:f>
      </x:c>
      <x:c r="T294" s="131" t="str">
        <x:f>IF(A294="","",0)</x:f>
      </x:c>
      <x:c r="U294" s="131" t="str">
        <x:f>IF(A294="","",0)</x:f>
      </x:c>
      <x:c r="V294" s="131" t="str">
        <x:f>IF(A294="","",IF(N294="Paga",0,IF(O294&gt;0,R294,S294)))</x:f>
      </x:c>
      <x:c r="W294" s="131" t="str">
        <x:f>IF(A294="","",ROUND(MAX(D294-F294,0),2))</x:f>
      </x:c>
      <x:c r="X294" s="131" t="str">
        <x:f>IF(A294="","",ROUND(SUM($G294:$G$407),2))</x:f>
      </x:c>
      <x:c r="Y294" s="131" t="str">
        <x:f>IF(A294="","",ROUND(MAX(X294-D294,0),2))</x:f>
      </x:c>
      <x:c r="Z294" s="131" t="str">
        <x:f>IF(A294="","",ROUND(SUM($V294:$V$407),2))</x:f>
      </x:c>
      <x:c r="AA294" s="131" t="str">
        <x:f>IF(A294="","",ROUND(SUM($K294:$K$407)-Z294,2))</x:f>
      </x:c>
      <x:c r="AB294" s="77"/>
      <x:c r="AC294" s="36" t="str">
        <x:f>IF(A294="","",IF(O294&gt;0,"Vencido: saldo da fatura + mora",IF(O294&lt;=0,"Vincendo: VP da parcela financeira; comissão/proteção futuras isentas","")))</x:f>
      </x:c>
    </x:row>
    <x:row r="295">
      <x:c r="A295" s="129" t="str">
        <x:f>IF(ROW()-7&lt;=Contrato!$C$16,ROW()-7,"")</x:f>
      </x:c>
      <x:c r="B295" s="129" t="str">
        <x:f>IF(A295="","",Contrato!$C$16)</x:f>
      </x:c>
      <x:c r="C295" s="130" t="str">
        <x:f>IF(A295="","",IF(AB295&lt;&gt;"",AB295,IF(Contrato!$C$14="Mensal",EDATE(Contrato!$C$13,A295-1),Contrato!$C$13+(A295-1)*IF(Contrato!$C$14="Quinzenal",14,IF(Contrato!$C$14="Semanal",7,1)))))</x:f>
      </x:c>
      <x:c r="D295" s="131" t="str">
        <x:f>IF(A295="","",W294)</x:f>
      </x:c>
      <x:c r="E295" s="131" t="str">
        <x:f>IF(A295="","",ROUND(D295*Simulador!$I$18,2))</x:f>
      </x:c>
      <x:c r="F295" s="131" t="str">
        <x:f>IF(A295="","",ROUND(MIN(D295,MAX(G295-E295,0)),2))</x:f>
      </x:c>
      <x:c r="G295" s="131" t="str">
        <x:f>IF(A295="","",IF(A295&lt;Contrato!$C$16,Contrato!$C$27,Contrato!$C$28))</x:f>
      </x:c>
      <x:c r="H295" s="131" t="str">
        <x:f>IF(A295="","",Contrato!$C$29)</x:f>
      </x:c>
      <x:c r="I295" s="131" t="str">
        <x:f>IF(A295="","",Contrato!$C$30)</x:f>
      </x:c>
      <x:c r="J295" s="131" t="str">
        <x:f>IF(A295="","",Contrato!$C$31)</x:f>
      </x:c>
      <x:c r="K295" s="131" t="str">
        <x:f>IF(A295="","",ROUND(SUM(G295:J295),2))</x:f>
      </x:c>
      <x:c r="L295" s="80"/>
      <x:c r="M295" s="77"/>
      <x:c r="N295" s="29" t="str">
        <x:f>IF(A295="","",IF(L295&gt;=K295,"Paga",IF(L295&gt;0,"Paga parcialmente",IF(C295&lt;$A$5,"Vencida","Prevista"))))</x:f>
      </x:c>
      <x:c r="O295" s="29" t="str">
        <x:f>IF(A295="","",$A$5-C295)</x:f>
      </x:c>
      <x:c r="P295" s="131" t="str">
        <x:f>IF(A295="","",IF(AND(O295&gt;0,MAX(K295-L295,0)&gt;0,N295&lt;&gt;"Paga"),ROUND(MAX(K295-L295,0)*'Parâmetros'!$B$34,2),0))</x:f>
      </x:c>
      <x:c r="Q295" s="131" t="str">
        <x:f>IF(A295="","",IF(AND(O295&gt;0,MAX(K295-L295,0)&gt;0,N295&lt;&gt;"Paga"),ROUND(MAX(K295-L295,0)*'Parâmetros'!$B$35*(O295/'Parâmetros'!$B$33),2),0))</x:f>
      </x:c>
      <x:c r="R295" s="131" t="str">
        <x:f>IF(A295="","",IF(O295&gt;0,ROUND(MAX(K295-L295,0)+P295+Q295,2),0))</x:f>
      </x:c>
      <x:c r="S295" s="131" t="str">
        <x:f>IF(A295="","",IF(OR(N295="Paga",O295&gt;0),0,ROUND(IF(K295=0,0,G295*MAX(K295-L295,0)/K295)/(1+'Parâmetros'!$C$13)^((C295-$A$5)/30),2)))</x:f>
      </x:c>
      <x:c r="T295" s="131" t="str">
        <x:f>IF(A295="","",0)</x:f>
      </x:c>
      <x:c r="U295" s="131" t="str">
        <x:f>IF(A295="","",0)</x:f>
      </x:c>
      <x:c r="V295" s="131" t="str">
        <x:f>IF(A295="","",IF(N295="Paga",0,IF(O295&gt;0,R295,S295)))</x:f>
      </x:c>
      <x:c r="W295" s="131" t="str">
        <x:f>IF(A295="","",ROUND(MAX(D295-F295,0),2))</x:f>
      </x:c>
      <x:c r="X295" s="131" t="str">
        <x:f>IF(A295="","",ROUND(SUM($G295:$G$407),2))</x:f>
      </x:c>
      <x:c r="Y295" s="131" t="str">
        <x:f>IF(A295="","",ROUND(MAX(X295-D295,0),2))</x:f>
      </x:c>
      <x:c r="Z295" s="131" t="str">
        <x:f>IF(A295="","",ROUND(SUM($V295:$V$407),2))</x:f>
      </x:c>
      <x:c r="AA295" s="131" t="str">
        <x:f>IF(A295="","",ROUND(SUM($K295:$K$407)-Z295,2))</x:f>
      </x:c>
      <x:c r="AB295" s="77"/>
      <x:c r="AC295" s="36" t="str">
        <x:f>IF(A295="","",IF(O295&gt;0,"Vencido: saldo da fatura + mora",IF(O295&lt;=0,"Vincendo: VP da parcela financeira; comissão/proteção futuras isentas","")))</x:f>
      </x:c>
    </x:row>
    <x:row r="296">
      <x:c r="A296" s="129" t="str">
        <x:f>IF(ROW()-7&lt;=Contrato!$C$16,ROW()-7,"")</x:f>
      </x:c>
      <x:c r="B296" s="129" t="str">
        <x:f>IF(A296="","",Contrato!$C$16)</x:f>
      </x:c>
      <x:c r="C296" s="130" t="str">
        <x:f>IF(A296="","",IF(AB296&lt;&gt;"",AB296,IF(Contrato!$C$14="Mensal",EDATE(Contrato!$C$13,A296-1),Contrato!$C$13+(A296-1)*IF(Contrato!$C$14="Quinzenal",14,IF(Contrato!$C$14="Semanal",7,1)))))</x:f>
      </x:c>
      <x:c r="D296" s="131" t="str">
        <x:f>IF(A296="","",W295)</x:f>
      </x:c>
      <x:c r="E296" s="131" t="str">
        <x:f>IF(A296="","",ROUND(D296*Simulador!$I$18,2))</x:f>
      </x:c>
      <x:c r="F296" s="131" t="str">
        <x:f>IF(A296="","",ROUND(MIN(D296,MAX(G296-E296,0)),2))</x:f>
      </x:c>
      <x:c r="G296" s="131" t="str">
        <x:f>IF(A296="","",IF(A296&lt;Contrato!$C$16,Contrato!$C$27,Contrato!$C$28))</x:f>
      </x:c>
      <x:c r="H296" s="131" t="str">
        <x:f>IF(A296="","",Contrato!$C$29)</x:f>
      </x:c>
      <x:c r="I296" s="131" t="str">
        <x:f>IF(A296="","",Contrato!$C$30)</x:f>
      </x:c>
      <x:c r="J296" s="131" t="str">
        <x:f>IF(A296="","",Contrato!$C$31)</x:f>
      </x:c>
      <x:c r="K296" s="131" t="str">
        <x:f>IF(A296="","",ROUND(SUM(G296:J296),2))</x:f>
      </x:c>
      <x:c r="L296" s="80"/>
      <x:c r="M296" s="77"/>
      <x:c r="N296" s="29" t="str">
        <x:f>IF(A296="","",IF(L296&gt;=K296,"Paga",IF(L296&gt;0,"Paga parcialmente",IF(C296&lt;$A$5,"Vencida","Prevista"))))</x:f>
      </x:c>
      <x:c r="O296" s="29" t="str">
        <x:f>IF(A296="","",$A$5-C296)</x:f>
      </x:c>
      <x:c r="P296" s="131" t="str">
        <x:f>IF(A296="","",IF(AND(O296&gt;0,MAX(K296-L296,0)&gt;0,N296&lt;&gt;"Paga"),ROUND(MAX(K296-L296,0)*'Parâmetros'!$B$34,2),0))</x:f>
      </x:c>
      <x:c r="Q296" s="131" t="str">
        <x:f>IF(A296="","",IF(AND(O296&gt;0,MAX(K296-L296,0)&gt;0,N296&lt;&gt;"Paga"),ROUND(MAX(K296-L296,0)*'Parâmetros'!$B$35*(O296/'Parâmetros'!$B$33),2),0))</x:f>
      </x:c>
      <x:c r="R296" s="131" t="str">
        <x:f>IF(A296="","",IF(O296&gt;0,ROUND(MAX(K296-L296,0)+P296+Q296,2),0))</x:f>
      </x:c>
      <x:c r="S296" s="131" t="str">
        <x:f>IF(A296="","",IF(OR(N296="Paga",O296&gt;0),0,ROUND(IF(K296=0,0,G296*MAX(K296-L296,0)/K296)/(1+'Parâmetros'!$C$13)^((C296-$A$5)/30),2)))</x:f>
      </x:c>
      <x:c r="T296" s="131" t="str">
        <x:f>IF(A296="","",0)</x:f>
      </x:c>
      <x:c r="U296" s="131" t="str">
        <x:f>IF(A296="","",0)</x:f>
      </x:c>
      <x:c r="V296" s="131" t="str">
        <x:f>IF(A296="","",IF(N296="Paga",0,IF(O296&gt;0,R296,S296)))</x:f>
      </x:c>
      <x:c r="W296" s="131" t="str">
        <x:f>IF(A296="","",ROUND(MAX(D296-F296,0),2))</x:f>
      </x:c>
      <x:c r="X296" s="131" t="str">
        <x:f>IF(A296="","",ROUND(SUM($G296:$G$407),2))</x:f>
      </x:c>
      <x:c r="Y296" s="131" t="str">
        <x:f>IF(A296="","",ROUND(MAX(X296-D296,0),2))</x:f>
      </x:c>
      <x:c r="Z296" s="131" t="str">
        <x:f>IF(A296="","",ROUND(SUM($V296:$V$407),2))</x:f>
      </x:c>
      <x:c r="AA296" s="131" t="str">
        <x:f>IF(A296="","",ROUND(SUM($K296:$K$407)-Z296,2))</x:f>
      </x:c>
      <x:c r="AB296" s="77"/>
      <x:c r="AC296" s="36" t="str">
        <x:f>IF(A296="","",IF(O296&gt;0,"Vencido: saldo da fatura + mora",IF(O296&lt;=0,"Vincendo: VP da parcela financeira; comissão/proteção futuras isentas","")))</x:f>
      </x:c>
    </x:row>
    <x:row r="297">
      <x:c r="A297" s="129" t="str">
        <x:f>IF(ROW()-7&lt;=Contrato!$C$16,ROW()-7,"")</x:f>
      </x:c>
      <x:c r="B297" s="129" t="str">
        <x:f>IF(A297="","",Contrato!$C$16)</x:f>
      </x:c>
      <x:c r="C297" s="130" t="str">
        <x:f>IF(A297="","",IF(AB297&lt;&gt;"",AB297,IF(Contrato!$C$14="Mensal",EDATE(Contrato!$C$13,A297-1),Contrato!$C$13+(A297-1)*IF(Contrato!$C$14="Quinzenal",14,IF(Contrato!$C$14="Semanal",7,1)))))</x:f>
      </x:c>
      <x:c r="D297" s="131" t="str">
        <x:f>IF(A297="","",W296)</x:f>
      </x:c>
      <x:c r="E297" s="131" t="str">
        <x:f>IF(A297="","",ROUND(D297*Simulador!$I$18,2))</x:f>
      </x:c>
      <x:c r="F297" s="131" t="str">
        <x:f>IF(A297="","",ROUND(MIN(D297,MAX(G297-E297,0)),2))</x:f>
      </x:c>
      <x:c r="G297" s="131" t="str">
        <x:f>IF(A297="","",IF(A297&lt;Contrato!$C$16,Contrato!$C$27,Contrato!$C$28))</x:f>
      </x:c>
      <x:c r="H297" s="131" t="str">
        <x:f>IF(A297="","",Contrato!$C$29)</x:f>
      </x:c>
      <x:c r="I297" s="131" t="str">
        <x:f>IF(A297="","",Contrato!$C$30)</x:f>
      </x:c>
      <x:c r="J297" s="131" t="str">
        <x:f>IF(A297="","",Contrato!$C$31)</x:f>
      </x:c>
      <x:c r="K297" s="131" t="str">
        <x:f>IF(A297="","",ROUND(SUM(G297:J297),2))</x:f>
      </x:c>
      <x:c r="L297" s="80"/>
      <x:c r="M297" s="77"/>
      <x:c r="N297" s="29" t="str">
        <x:f>IF(A297="","",IF(L297&gt;=K297,"Paga",IF(L297&gt;0,"Paga parcialmente",IF(C297&lt;$A$5,"Vencida","Prevista"))))</x:f>
      </x:c>
      <x:c r="O297" s="29" t="str">
        <x:f>IF(A297="","",$A$5-C297)</x:f>
      </x:c>
      <x:c r="P297" s="131" t="str">
        <x:f>IF(A297="","",IF(AND(O297&gt;0,MAX(K297-L297,0)&gt;0,N297&lt;&gt;"Paga"),ROUND(MAX(K297-L297,0)*'Parâmetros'!$B$34,2),0))</x:f>
      </x:c>
      <x:c r="Q297" s="131" t="str">
        <x:f>IF(A297="","",IF(AND(O297&gt;0,MAX(K297-L297,0)&gt;0,N297&lt;&gt;"Paga"),ROUND(MAX(K297-L297,0)*'Parâmetros'!$B$35*(O297/'Parâmetros'!$B$33),2),0))</x:f>
      </x:c>
      <x:c r="R297" s="131" t="str">
        <x:f>IF(A297="","",IF(O297&gt;0,ROUND(MAX(K297-L297,0)+P297+Q297,2),0))</x:f>
      </x:c>
      <x:c r="S297" s="131" t="str">
        <x:f>IF(A297="","",IF(OR(N297="Paga",O297&gt;0),0,ROUND(IF(K297=0,0,G297*MAX(K297-L297,0)/K297)/(1+'Parâmetros'!$C$13)^((C297-$A$5)/30),2)))</x:f>
      </x:c>
      <x:c r="T297" s="131" t="str">
        <x:f>IF(A297="","",0)</x:f>
      </x:c>
      <x:c r="U297" s="131" t="str">
        <x:f>IF(A297="","",0)</x:f>
      </x:c>
      <x:c r="V297" s="131" t="str">
        <x:f>IF(A297="","",IF(N297="Paga",0,IF(O297&gt;0,R297,S297)))</x:f>
      </x:c>
      <x:c r="W297" s="131" t="str">
        <x:f>IF(A297="","",ROUND(MAX(D297-F297,0),2))</x:f>
      </x:c>
      <x:c r="X297" s="131" t="str">
        <x:f>IF(A297="","",ROUND(SUM($G297:$G$407),2))</x:f>
      </x:c>
      <x:c r="Y297" s="131" t="str">
        <x:f>IF(A297="","",ROUND(MAX(X297-D297,0),2))</x:f>
      </x:c>
      <x:c r="Z297" s="131" t="str">
        <x:f>IF(A297="","",ROUND(SUM($V297:$V$407),2))</x:f>
      </x:c>
      <x:c r="AA297" s="131" t="str">
        <x:f>IF(A297="","",ROUND(SUM($K297:$K$407)-Z297,2))</x:f>
      </x:c>
      <x:c r="AB297" s="77"/>
      <x:c r="AC297" s="36" t="str">
        <x:f>IF(A297="","",IF(O297&gt;0,"Vencido: saldo da fatura + mora",IF(O297&lt;=0,"Vincendo: VP da parcela financeira; comissão/proteção futuras isentas","")))</x:f>
      </x:c>
    </x:row>
    <x:row r="298">
      <x:c r="A298" s="129" t="str">
        <x:f>IF(ROW()-7&lt;=Contrato!$C$16,ROW()-7,"")</x:f>
      </x:c>
      <x:c r="B298" s="129" t="str">
        <x:f>IF(A298="","",Contrato!$C$16)</x:f>
      </x:c>
      <x:c r="C298" s="130" t="str">
        <x:f>IF(A298="","",IF(AB298&lt;&gt;"",AB298,IF(Contrato!$C$14="Mensal",EDATE(Contrato!$C$13,A298-1),Contrato!$C$13+(A298-1)*IF(Contrato!$C$14="Quinzenal",14,IF(Contrato!$C$14="Semanal",7,1)))))</x:f>
      </x:c>
      <x:c r="D298" s="131" t="str">
        <x:f>IF(A298="","",W297)</x:f>
      </x:c>
      <x:c r="E298" s="131" t="str">
        <x:f>IF(A298="","",ROUND(D298*Simulador!$I$18,2))</x:f>
      </x:c>
      <x:c r="F298" s="131" t="str">
        <x:f>IF(A298="","",ROUND(MIN(D298,MAX(G298-E298,0)),2))</x:f>
      </x:c>
      <x:c r="G298" s="131" t="str">
        <x:f>IF(A298="","",IF(A298&lt;Contrato!$C$16,Contrato!$C$27,Contrato!$C$28))</x:f>
      </x:c>
      <x:c r="H298" s="131" t="str">
        <x:f>IF(A298="","",Contrato!$C$29)</x:f>
      </x:c>
      <x:c r="I298" s="131" t="str">
        <x:f>IF(A298="","",Contrato!$C$30)</x:f>
      </x:c>
      <x:c r="J298" s="131" t="str">
        <x:f>IF(A298="","",Contrato!$C$31)</x:f>
      </x:c>
      <x:c r="K298" s="131" t="str">
        <x:f>IF(A298="","",ROUND(SUM(G298:J298),2))</x:f>
      </x:c>
      <x:c r="L298" s="80"/>
      <x:c r="M298" s="77"/>
      <x:c r="N298" s="29" t="str">
        <x:f>IF(A298="","",IF(L298&gt;=K298,"Paga",IF(L298&gt;0,"Paga parcialmente",IF(C298&lt;$A$5,"Vencida","Prevista"))))</x:f>
      </x:c>
      <x:c r="O298" s="29" t="str">
        <x:f>IF(A298="","",$A$5-C298)</x:f>
      </x:c>
      <x:c r="P298" s="131" t="str">
        <x:f>IF(A298="","",IF(AND(O298&gt;0,MAX(K298-L298,0)&gt;0,N298&lt;&gt;"Paga"),ROUND(MAX(K298-L298,0)*'Parâmetros'!$B$34,2),0))</x:f>
      </x:c>
      <x:c r="Q298" s="131" t="str">
        <x:f>IF(A298="","",IF(AND(O298&gt;0,MAX(K298-L298,0)&gt;0,N298&lt;&gt;"Paga"),ROUND(MAX(K298-L298,0)*'Parâmetros'!$B$35*(O298/'Parâmetros'!$B$33),2),0))</x:f>
      </x:c>
      <x:c r="R298" s="131" t="str">
        <x:f>IF(A298="","",IF(O298&gt;0,ROUND(MAX(K298-L298,0)+P298+Q298,2),0))</x:f>
      </x:c>
      <x:c r="S298" s="131" t="str">
        <x:f>IF(A298="","",IF(OR(N298="Paga",O298&gt;0),0,ROUND(IF(K298=0,0,G298*MAX(K298-L298,0)/K298)/(1+'Parâmetros'!$C$13)^((C298-$A$5)/30),2)))</x:f>
      </x:c>
      <x:c r="T298" s="131" t="str">
        <x:f>IF(A298="","",0)</x:f>
      </x:c>
      <x:c r="U298" s="131" t="str">
        <x:f>IF(A298="","",0)</x:f>
      </x:c>
      <x:c r="V298" s="131" t="str">
        <x:f>IF(A298="","",IF(N298="Paga",0,IF(O298&gt;0,R298,S298)))</x:f>
      </x:c>
      <x:c r="W298" s="131" t="str">
        <x:f>IF(A298="","",ROUND(MAX(D298-F298,0),2))</x:f>
      </x:c>
      <x:c r="X298" s="131" t="str">
        <x:f>IF(A298="","",ROUND(SUM($G298:$G$407),2))</x:f>
      </x:c>
      <x:c r="Y298" s="131" t="str">
        <x:f>IF(A298="","",ROUND(MAX(X298-D298,0),2))</x:f>
      </x:c>
      <x:c r="Z298" s="131" t="str">
        <x:f>IF(A298="","",ROUND(SUM($V298:$V$407),2))</x:f>
      </x:c>
      <x:c r="AA298" s="131" t="str">
        <x:f>IF(A298="","",ROUND(SUM($K298:$K$407)-Z298,2))</x:f>
      </x:c>
      <x:c r="AB298" s="77"/>
      <x:c r="AC298" s="36" t="str">
        <x:f>IF(A298="","",IF(O298&gt;0,"Vencido: saldo da fatura + mora",IF(O298&lt;=0,"Vincendo: VP da parcela financeira; comissão/proteção futuras isentas","")))</x:f>
      </x:c>
    </x:row>
    <x:row r="299">
      <x:c r="A299" s="129" t="str">
        <x:f>IF(ROW()-7&lt;=Contrato!$C$16,ROW()-7,"")</x:f>
      </x:c>
      <x:c r="B299" s="129" t="str">
        <x:f>IF(A299="","",Contrato!$C$16)</x:f>
      </x:c>
      <x:c r="C299" s="130" t="str">
        <x:f>IF(A299="","",IF(AB299&lt;&gt;"",AB299,IF(Contrato!$C$14="Mensal",EDATE(Contrato!$C$13,A299-1),Contrato!$C$13+(A299-1)*IF(Contrato!$C$14="Quinzenal",14,IF(Contrato!$C$14="Semanal",7,1)))))</x:f>
      </x:c>
      <x:c r="D299" s="131" t="str">
        <x:f>IF(A299="","",W298)</x:f>
      </x:c>
      <x:c r="E299" s="131" t="str">
        <x:f>IF(A299="","",ROUND(D299*Simulador!$I$18,2))</x:f>
      </x:c>
      <x:c r="F299" s="131" t="str">
        <x:f>IF(A299="","",ROUND(MIN(D299,MAX(G299-E299,0)),2))</x:f>
      </x:c>
      <x:c r="G299" s="131" t="str">
        <x:f>IF(A299="","",IF(A299&lt;Contrato!$C$16,Contrato!$C$27,Contrato!$C$28))</x:f>
      </x:c>
      <x:c r="H299" s="131" t="str">
        <x:f>IF(A299="","",Contrato!$C$29)</x:f>
      </x:c>
      <x:c r="I299" s="131" t="str">
        <x:f>IF(A299="","",Contrato!$C$30)</x:f>
      </x:c>
      <x:c r="J299" s="131" t="str">
        <x:f>IF(A299="","",Contrato!$C$31)</x:f>
      </x:c>
      <x:c r="K299" s="131" t="str">
        <x:f>IF(A299="","",ROUND(SUM(G299:J299),2))</x:f>
      </x:c>
      <x:c r="L299" s="80"/>
      <x:c r="M299" s="77"/>
      <x:c r="N299" s="29" t="str">
        <x:f>IF(A299="","",IF(L299&gt;=K299,"Paga",IF(L299&gt;0,"Paga parcialmente",IF(C299&lt;$A$5,"Vencida","Prevista"))))</x:f>
      </x:c>
      <x:c r="O299" s="29" t="str">
        <x:f>IF(A299="","",$A$5-C299)</x:f>
      </x:c>
      <x:c r="P299" s="131" t="str">
        <x:f>IF(A299="","",IF(AND(O299&gt;0,MAX(K299-L299,0)&gt;0,N299&lt;&gt;"Paga"),ROUND(MAX(K299-L299,0)*'Parâmetros'!$B$34,2),0))</x:f>
      </x:c>
      <x:c r="Q299" s="131" t="str">
        <x:f>IF(A299="","",IF(AND(O299&gt;0,MAX(K299-L299,0)&gt;0,N299&lt;&gt;"Paga"),ROUND(MAX(K299-L299,0)*'Parâmetros'!$B$35*(O299/'Parâmetros'!$B$33),2),0))</x:f>
      </x:c>
      <x:c r="R299" s="131" t="str">
        <x:f>IF(A299="","",IF(O299&gt;0,ROUND(MAX(K299-L299,0)+P299+Q299,2),0))</x:f>
      </x:c>
      <x:c r="S299" s="131" t="str">
        <x:f>IF(A299="","",IF(OR(N299="Paga",O299&gt;0),0,ROUND(IF(K299=0,0,G299*MAX(K299-L299,0)/K299)/(1+'Parâmetros'!$C$13)^((C299-$A$5)/30),2)))</x:f>
      </x:c>
      <x:c r="T299" s="131" t="str">
        <x:f>IF(A299="","",0)</x:f>
      </x:c>
      <x:c r="U299" s="131" t="str">
        <x:f>IF(A299="","",0)</x:f>
      </x:c>
      <x:c r="V299" s="131" t="str">
        <x:f>IF(A299="","",IF(N299="Paga",0,IF(O299&gt;0,R299,S299)))</x:f>
      </x:c>
      <x:c r="W299" s="131" t="str">
        <x:f>IF(A299="","",ROUND(MAX(D299-F299,0),2))</x:f>
      </x:c>
      <x:c r="X299" s="131" t="str">
        <x:f>IF(A299="","",ROUND(SUM($G299:$G$407),2))</x:f>
      </x:c>
      <x:c r="Y299" s="131" t="str">
        <x:f>IF(A299="","",ROUND(MAX(X299-D299,0),2))</x:f>
      </x:c>
      <x:c r="Z299" s="131" t="str">
        <x:f>IF(A299="","",ROUND(SUM($V299:$V$407),2))</x:f>
      </x:c>
      <x:c r="AA299" s="131" t="str">
        <x:f>IF(A299="","",ROUND(SUM($K299:$K$407)-Z299,2))</x:f>
      </x:c>
      <x:c r="AB299" s="77"/>
      <x:c r="AC299" s="36" t="str">
        <x:f>IF(A299="","",IF(O299&gt;0,"Vencido: saldo da fatura + mora",IF(O299&lt;=0,"Vincendo: VP da parcela financeira; comissão/proteção futuras isentas","")))</x:f>
      </x:c>
    </x:row>
    <x:row r="300">
      <x:c r="A300" s="129" t="str">
        <x:f>IF(ROW()-7&lt;=Contrato!$C$16,ROW()-7,"")</x:f>
      </x:c>
      <x:c r="B300" s="129" t="str">
        <x:f>IF(A300="","",Contrato!$C$16)</x:f>
      </x:c>
      <x:c r="C300" s="130" t="str">
        <x:f>IF(A300="","",IF(AB300&lt;&gt;"",AB300,IF(Contrato!$C$14="Mensal",EDATE(Contrato!$C$13,A300-1),Contrato!$C$13+(A300-1)*IF(Contrato!$C$14="Quinzenal",14,IF(Contrato!$C$14="Semanal",7,1)))))</x:f>
      </x:c>
      <x:c r="D300" s="131" t="str">
        <x:f>IF(A300="","",W299)</x:f>
      </x:c>
      <x:c r="E300" s="131" t="str">
        <x:f>IF(A300="","",ROUND(D300*Simulador!$I$18,2))</x:f>
      </x:c>
      <x:c r="F300" s="131" t="str">
        <x:f>IF(A300="","",ROUND(MIN(D300,MAX(G300-E300,0)),2))</x:f>
      </x:c>
      <x:c r="G300" s="131" t="str">
        <x:f>IF(A300="","",IF(A300&lt;Contrato!$C$16,Contrato!$C$27,Contrato!$C$28))</x:f>
      </x:c>
      <x:c r="H300" s="131" t="str">
        <x:f>IF(A300="","",Contrato!$C$29)</x:f>
      </x:c>
      <x:c r="I300" s="131" t="str">
        <x:f>IF(A300="","",Contrato!$C$30)</x:f>
      </x:c>
      <x:c r="J300" s="131" t="str">
        <x:f>IF(A300="","",Contrato!$C$31)</x:f>
      </x:c>
      <x:c r="K300" s="131" t="str">
        <x:f>IF(A300="","",ROUND(SUM(G300:J300),2))</x:f>
      </x:c>
      <x:c r="L300" s="80"/>
      <x:c r="M300" s="77"/>
      <x:c r="N300" s="29" t="str">
        <x:f>IF(A300="","",IF(L300&gt;=K300,"Paga",IF(L300&gt;0,"Paga parcialmente",IF(C300&lt;$A$5,"Vencida","Prevista"))))</x:f>
      </x:c>
      <x:c r="O300" s="29" t="str">
        <x:f>IF(A300="","",$A$5-C300)</x:f>
      </x:c>
      <x:c r="P300" s="131" t="str">
        <x:f>IF(A300="","",IF(AND(O300&gt;0,MAX(K300-L300,0)&gt;0,N300&lt;&gt;"Paga"),ROUND(MAX(K300-L300,0)*'Parâmetros'!$B$34,2),0))</x:f>
      </x:c>
      <x:c r="Q300" s="131" t="str">
        <x:f>IF(A300="","",IF(AND(O300&gt;0,MAX(K300-L300,0)&gt;0,N300&lt;&gt;"Paga"),ROUND(MAX(K300-L300,0)*'Parâmetros'!$B$35*(O300/'Parâmetros'!$B$33),2),0))</x:f>
      </x:c>
      <x:c r="R300" s="131" t="str">
        <x:f>IF(A300="","",IF(O300&gt;0,ROUND(MAX(K300-L300,0)+P300+Q300,2),0))</x:f>
      </x:c>
      <x:c r="S300" s="131" t="str">
        <x:f>IF(A300="","",IF(OR(N300="Paga",O300&gt;0),0,ROUND(IF(K300=0,0,G300*MAX(K300-L300,0)/K300)/(1+'Parâmetros'!$C$13)^((C300-$A$5)/30),2)))</x:f>
      </x:c>
      <x:c r="T300" s="131" t="str">
        <x:f>IF(A300="","",0)</x:f>
      </x:c>
      <x:c r="U300" s="131" t="str">
        <x:f>IF(A300="","",0)</x:f>
      </x:c>
      <x:c r="V300" s="131" t="str">
        <x:f>IF(A300="","",IF(N300="Paga",0,IF(O300&gt;0,R300,S300)))</x:f>
      </x:c>
      <x:c r="W300" s="131" t="str">
        <x:f>IF(A300="","",ROUND(MAX(D300-F300,0),2))</x:f>
      </x:c>
      <x:c r="X300" s="131" t="str">
        <x:f>IF(A300="","",ROUND(SUM($G300:$G$407),2))</x:f>
      </x:c>
      <x:c r="Y300" s="131" t="str">
        <x:f>IF(A300="","",ROUND(MAX(X300-D300,0),2))</x:f>
      </x:c>
      <x:c r="Z300" s="131" t="str">
        <x:f>IF(A300="","",ROUND(SUM($V300:$V$407),2))</x:f>
      </x:c>
      <x:c r="AA300" s="131" t="str">
        <x:f>IF(A300="","",ROUND(SUM($K300:$K$407)-Z300,2))</x:f>
      </x:c>
      <x:c r="AB300" s="77"/>
      <x:c r="AC300" s="36" t="str">
        <x:f>IF(A300="","",IF(O300&gt;0,"Vencido: saldo da fatura + mora",IF(O300&lt;=0,"Vincendo: VP da parcela financeira; comissão/proteção futuras isentas","")))</x:f>
      </x:c>
    </x:row>
    <x:row r="301">
      <x:c r="A301" s="129" t="str">
        <x:f>IF(ROW()-7&lt;=Contrato!$C$16,ROW()-7,"")</x:f>
      </x:c>
      <x:c r="B301" s="129" t="str">
        <x:f>IF(A301="","",Contrato!$C$16)</x:f>
      </x:c>
      <x:c r="C301" s="130" t="str">
        <x:f>IF(A301="","",IF(AB301&lt;&gt;"",AB301,IF(Contrato!$C$14="Mensal",EDATE(Contrato!$C$13,A301-1),Contrato!$C$13+(A301-1)*IF(Contrato!$C$14="Quinzenal",14,IF(Contrato!$C$14="Semanal",7,1)))))</x:f>
      </x:c>
      <x:c r="D301" s="131" t="str">
        <x:f>IF(A301="","",W300)</x:f>
      </x:c>
      <x:c r="E301" s="131" t="str">
        <x:f>IF(A301="","",ROUND(D301*Simulador!$I$18,2))</x:f>
      </x:c>
      <x:c r="F301" s="131" t="str">
        <x:f>IF(A301="","",ROUND(MIN(D301,MAX(G301-E301,0)),2))</x:f>
      </x:c>
      <x:c r="G301" s="131" t="str">
        <x:f>IF(A301="","",IF(A301&lt;Contrato!$C$16,Contrato!$C$27,Contrato!$C$28))</x:f>
      </x:c>
      <x:c r="H301" s="131" t="str">
        <x:f>IF(A301="","",Contrato!$C$29)</x:f>
      </x:c>
      <x:c r="I301" s="131" t="str">
        <x:f>IF(A301="","",Contrato!$C$30)</x:f>
      </x:c>
      <x:c r="J301" s="131" t="str">
        <x:f>IF(A301="","",Contrato!$C$31)</x:f>
      </x:c>
      <x:c r="K301" s="131" t="str">
        <x:f>IF(A301="","",ROUND(SUM(G301:J301),2))</x:f>
      </x:c>
      <x:c r="L301" s="80"/>
      <x:c r="M301" s="77"/>
      <x:c r="N301" s="29" t="str">
        <x:f>IF(A301="","",IF(L301&gt;=K301,"Paga",IF(L301&gt;0,"Paga parcialmente",IF(C301&lt;$A$5,"Vencida","Prevista"))))</x:f>
      </x:c>
      <x:c r="O301" s="29" t="str">
        <x:f>IF(A301="","",$A$5-C301)</x:f>
      </x:c>
      <x:c r="P301" s="131" t="str">
        <x:f>IF(A301="","",IF(AND(O301&gt;0,MAX(K301-L301,0)&gt;0,N301&lt;&gt;"Paga"),ROUND(MAX(K301-L301,0)*'Parâmetros'!$B$34,2),0))</x:f>
      </x:c>
      <x:c r="Q301" s="131" t="str">
        <x:f>IF(A301="","",IF(AND(O301&gt;0,MAX(K301-L301,0)&gt;0,N301&lt;&gt;"Paga"),ROUND(MAX(K301-L301,0)*'Parâmetros'!$B$35*(O301/'Parâmetros'!$B$33),2),0))</x:f>
      </x:c>
      <x:c r="R301" s="131" t="str">
        <x:f>IF(A301="","",IF(O301&gt;0,ROUND(MAX(K301-L301,0)+P301+Q301,2),0))</x:f>
      </x:c>
      <x:c r="S301" s="131" t="str">
        <x:f>IF(A301="","",IF(OR(N301="Paga",O301&gt;0),0,ROUND(IF(K301=0,0,G301*MAX(K301-L301,0)/K301)/(1+'Parâmetros'!$C$13)^((C301-$A$5)/30),2)))</x:f>
      </x:c>
      <x:c r="T301" s="131" t="str">
        <x:f>IF(A301="","",0)</x:f>
      </x:c>
      <x:c r="U301" s="131" t="str">
        <x:f>IF(A301="","",0)</x:f>
      </x:c>
      <x:c r="V301" s="131" t="str">
        <x:f>IF(A301="","",IF(N301="Paga",0,IF(O301&gt;0,R301,S301)))</x:f>
      </x:c>
      <x:c r="W301" s="131" t="str">
        <x:f>IF(A301="","",ROUND(MAX(D301-F301,0),2))</x:f>
      </x:c>
      <x:c r="X301" s="131" t="str">
        <x:f>IF(A301="","",ROUND(SUM($G301:$G$407),2))</x:f>
      </x:c>
      <x:c r="Y301" s="131" t="str">
        <x:f>IF(A301="","",ROUND(MAX(X301-D301,0),2))</x:f>
      </x:c>
      <x:c r="Z301" s="131" t="str">
        <x:f>IF(A301="","",ROUND(SUM($V301:$V$407),2))</x:f>
      </x:c>
      <x:c r="AA301" s="131" t="str">
        <x:f>IF(A301="","",ROUND(SUM($K301:$K$407)-Z301,2))</x:f>
      </x:c>
      <x:c r="AB301" s="77"/>
      <x:c r="AC301" s="36" t="str">
        <x:f>IF(A301="","",IF(O301&gt;0,"Vencido: saldo da fatura + mora",IF(O301&lt;=0,"Vincendo: VP da parcela financeira; comissão/proteção futuras isentas","")))</x:f>
      </x:c>
    </x:row>
    <x:row r="302">
      <x:c r="A302" s="129" t="str">
        <x:f>IF(ROW()-7&lt;=Contrato!$C$16,ROW()-7,"")</x:f>
      </x:c>
      <x:c r="B302" s="129" t="str">
        <x:f>IF(A302="","",Contrato!$C$16)</x:f>
      </x:c>
      <x:c r="C302" s="130" t="str">
        <x:f>IF(A302="","",IF(AB302&lt;&gt;"",AB302,IF(Contrato!$C$14="Mensal",EDATE(Contrato!$C$13,A302-1),Contrato!$C$13+(A302-1)*IF(Contrato!$C$14="Quinzenal",14,IF(Contrato!$C$14="Semanal",7,1)))))</x:f>
      </x:c>
      <x:c r="D302" s="131" t="str">
        <x:f>IF(A302="","",W301)</x:f>
      </x:c>
      <x:c r="E302" s="131" t="str">
        <x:f>IF(A302="","",ROUND(D302*Simulador!$I$18,2))</x:f>
      </x:c>
      <x:c r="F302" s="131" t="str">
        <x:f>IF(A302="","",ROUND(MIN(D302,MAX(G302-E302,0)),2))</x:f>
      </x:c>
      <x:c r="G302" s="131" t="str">
        <x:f>IF(A302="","",IF(A302&lt;Contrato!$C$16,Contrato!$C$27,Contrato!$C$28))</x:f>
      </x:c>
      <x:c r="H302" s="131" t="str">
        <x:f>IF(A302="","",Contrato!$C$29)</x:f>
      </x:c>
      <x:c r="I302" s="131" t="str">
        <x:f>IF(A302="","",Contrato!$C$30)</x:f>
      </x:c>
      <x:c r="J302" s="131" t="str">
        <x:f>IF(A302="","",Contrato!$C$31)</x:f>
      </x:c>
      <x:c r="K302" s="131" t="str">
        <x:f>IF(A302="","",ROUND(SUM(G302:J302),2))</x:f>
      </x:c>
      <x:c r="L302" s="80"/>
      <x:c r="M302" s="77"/>
      <x:c r="N302" s="29" t="str">
        <x:f>IF(A302="","",IF(L302&gt;=K302,"Paga",IF(L302&gt;0,"Paga parcialmente",IF(C302&lt;$A$5,"Vencida","Prevista"))))</x:f>
      </x:c>
      <x:c r="O302" s="29" t="str">
        <x:f>IF(A302="","",$A$5-C302)</x:f>
      </x:c>
      <x:c r="P302" s="131" t="str">
        <x:f>IF(A302="","",IF(AND(O302&gt;0,MAX(K302-L302,0)&gt;0,N302&lt;&gt;"Paga"),ROUND(MAX(K302-L302,0)*'Parâmetros'!$B$34,2),0))</x:f>
      </x:c>
      <x:c r="Q302" s="131" t="str">
        <x:f>IF(A302="","",IF(AND(O302&gt;0,MAX(K302-L302,0)&gt;0,N302&lt;&gt;"Paga"),ROUND(MAX(K302-L302,0)*'Parâmetros'!$B$35*(O302/'Parâmetros'!$B$33),2),0))</x:f>
      </x:c>
      <x:c r="R302" s="131" t="str">
        <x:f>IF(A302="","",IF(O302&gt;0,ROUND(MAX(K302-L302,0)+P302+Q302,2),0))</x:f>
      </x:c>
      <x:c r="S302" s="131" t="str">
        <x:f>IF(A302="","",IF(OR(N302="Paga",O302&gt;0),0,ROUND(IF(K302=0,0,G302*MAX(K302-L302,0)/K302)/(1+'Parâmetros'!$C$13)^((C302-$A$5)/30),2)))</x:f>
      </x:c>
      <x:c r="T302" s="131" t="str">
        <x:f>IF(A302="","",0)</x:f>
      </x:c>
      <x:c r="U302" s="131" t="str">
        <x:f>IF(A302="","",0)</x:f>
      </x:c>
      <x:c r="V302" s="131" t="str">
        <x:f>IF(A302="","",IF(N302="Paga",0,IF(O302&gt;0,R302,S302)))</x:f>
      </x:c>
      <x:c r="W302" s="131" t="str">
        <x:f>IF(A302="","",ROUND(MAX(D302-F302,0),2))</x:f>
      </x:c>
      <x:c r="X302" s="131" t="str">
        <x:f>IF(A302="","",ROUND(SUM($G302:$G$407),2))</x:f>
      </x:c>
      <x:c r="Y302" s="131" t="str">
        <x:f>IF(A302="","",ROUND(MAX(X302-D302,0),2))</x:f>
      </x:c>
      <x:c r="Z302" s="131" t="str">
        <x:f>IF(A302="","",ROUND(SUM($V302:$V$407),2))</x:f>
      </x:c>
      <x:c r="AA302" s="131" t="str">
        <x:f>IF(A302="","",ROUND(SUM($K302:$K$407)-Z302,2))</x:f>
      </x:c>
      <x:c r="AB302" s="77"/>
      <x:c r="AC302" s="36" t="str">
        <x:f>IF(A302="","",IF(O302&gt;0,"Vencido: saldo da fatura + mora",IF(O302&lt;=0,"Vincendo: VP da parcela financeira; comissão/proteção futuras isentas","")))</x:f>
      </x:c>
    </x:row>
    <x:row r="303">
      <x:c r="A303" s="129" t="str">
        <x:f>IF(ROW()-7&lt;=Contrato!$C$16,ROW()-7,"")</x:f>
      </x:c>
      <x:c r="B303" s="129" t="str">
        <x:f>IF(A303="","",Contrato!$C$16)</x:f>
      </x:c>
      <x:c r="C303" s="130" t="str">
        <x:f>IF(A303="","",IF(AB303&lt;&gt;"",AB303,IF(Contrato!$C$14="Mensal",EDATE(Contrato!$C$13,A303-1),Contrato!$C$13+(A303-1)*IF(Contrato!$C$14="Quinzenal",14,IF(Contrato!$C$14="Semanal",7,1)))))</x:f>
      </x:c>
      <x:c r="D303" s="131" t="str">
        <x:f>IF(A303="","",W302)</x:f>
      </x:c>
      <x:c r="E303" s="131" t="str">
        <x:f>IF(A303="","",ROUND(D303*Simulador!$I$18,2))</x:f>
      </x:c>
      <x:c r="F303" s="131" t="str">
        <x:f>IF(A303="","",ROUND(MIN(D303,MAX(G303-E303,0)),2))</x:f>
      </x:c>
      <x:c r="G303" s="131" t="str">
        <x:f>IF(A303="","",IF(A303&lt;Contrato!$C$16,Contrato!$C$27,Contrato!$C$28))</x:f>
      </x:c>
      <x:c r="H303" s="131" t="str">
        <x:f>IF(A303="","",Contrato!$C$29)</x:f>
      </x:c>
      <x:c r="I303" s="131" t="str">
        <x:f>IF(A303="","",Contrato!$C$30)</x:f>
      </x:c>
      <x:c r="J303" s="131" t="str">
        <x:f>IF(A303="","",Contrato!$C$31)</x:f>
      </x:c>
      <x:c r="K303" s="131" t="str">
        <x:f>IF(A303="","",ROUND(SUM(G303:J303),2))</x:f>
      </x:c>
      <x:c r="L303" s="80"/>
      <x:c r="M303" s="77"/>
      <x:c r="N303" s="29" t="str">
        <x:f>IF(A303="","",IF(L303&gt;=K303,"Paga",IF(L303&gt;0,"Paga parcialmente",IF(C303&lt;$A$5,"Vencida","Prevista"))))</x:f>
      </x:c>
      <x:c r="O303" s="29" t="str">
        <x:f>IF(A303="","",$A$5-C303)</x:f>
      </x:c>
      <x:c r="P303" s="131" t="str">
        <x:f>IF(A303="","",IF(AND(O303&gt;0,MAX(K303-L303,0)&gt;0,N303&lt;&gt;"Paga"),ROUND(MAX(K303-L303,0)*'Parâmetros'!$B$34,2),0))</x:f>
      </x:c>
      <x:c r="Q303" s="131" t="str">
        <x:f>IF(A303="","",IF(AND(O303&gt;0,MAX(K303-L303,0)&gt;0,N303&lt;&gt;"Paga"),ROUND(MAX(K303-L303,0)*'Parâmetros'!$B$35*(O303/'Parâmetros'!$B$33),2),0))</x:f>
      </x:c>
      <x:c r="R303" s="131" t="str">
        <x:f>IF(A303="","",IF(O303&gt;0,ROUND(MAX(K303-L303,0)+P303+Q303,2),0))</x:f>
      </x:c>
      <x:c r="S303" s="131" t="str">
        <x:f>IF(A303="","",IF(OR(N303="Paga",O303&gt;0),0,ROUND(IF(K303=0,0,G303*MAX(K303-L303,0)/K303)/(1+'Parâmetros'!$C$13)^((C303-$A$5)/30),2)))</x:f>
      </x:c>
      <x:c r="T303" s="131" t="str">
        <x:f>IF(A303="","",0)</x:f>
      </x:c>
      <x:c r="U303" s="131" t="str">
        <x:f>IF(A303="","",0)</x:f>
      </x:c>
      <x:c r="V303" s="131" t="str">
        <x:f>IF(A303="","",IF(N303="Paga",0,IF(O303&gt;0,R303,S303)))</x:f>
      </x:c>
      <x:c r="W303" s="131" t="str">
        <x:f>IF(A303="","",ROUND(MAX(D303-F303,0),2))</x:f>
      </x:c>
      <x:c r="X303" s="131" t="str">
        <x:f>IF(A303="","",ROUND(SUM($G303:$G$407),2))</x:f>
      </x:c>
      <x:c r="Y303" s="131" t="str">
        <x:f>IF(A303="","",ROUND(MAX(X303-D303,0),2))</x:f>
      </x:c>
      <x:c r="Z303" s="131" t="str">
        <x:f>IF(A303="","",ROUND(SUM($V303:$V$407),2))</x:f>
      </x:c>
      <x:c r="AA303" s="131" t="str">
        <x:f>IF(A303="","",ROUND(SUM($K303:$K$407)-Z303,2))</x:f>
      </x:c>
      <x:c r="AB303" s="77"/>
      <x:c r="AC303" s="36" t="str">
        <x:f>IF(A303="","",IF(O303&gt;0,"Vencido: saldo da fatura + mora",IF(O303&lt;=0,"Vincendo: VP da parcela financeira; comissão/proteção futuras isentas","")))</x:f>
      </x:c>
    </x:row>
    <x:row r="304">
      <x:c r="A304" s="129" t="str">
        <x:f>IF(ROW()-7&lt;=Contrato!$C$16,ROW()-7,"")</x:f>
      </x:c>
      <x:c r="B304" s="129" t="str">
        <x:f>IF(A304="","",Contrato!$C$16)</x:f>
      </x:c>
      <x:c r="C304" s="130" t="str">
        <x:f>IF(A304="","",IF(AB304&lt;&gt;"",AB304,IF(Contrato!$C$14="Mensal",EDATE(Contrato!$C$13,A304-1),Contrato!$C$13+(A304-1)*IF(Contrato!$C$14="Quinzenal",14,IF(Contrato!$C$14="Semanal",7,1)))))</x:f>
      </x:c>
      <x:c r="D304" s="131" t="str">
        <x:f>IF(A304="","",W303)</x:f>
      </x:c>
      <x:c r="E304" s="131" t="str">
        <x:f>IF(A304="","",ROUND(D304*Simulador!$I$18,2))</x:f>
      </x:c>
      <x:c r="F304" s="131" t="str">
        <x:f>IF(A304="","",ROUND(MIN(D304,MAX(G304-E304,0)),2))</x:f>
      </x:c>
      <x:c r="G304" s="131" t="str">
        <x:f>IF(A304="","",IF(A304&lt;Contrato!$C$16,Contrato!$C$27,Contrato!$C$28))</x:f>
      </x:c>
      <x:c r="H304" s="131" t="str">
        <x:f>IF(A304="","",Contrato!$C$29)</x:f>
      </x:c>
      <x:c r="I304" s="131" t="str">
        <x:f>IF(A304="","",Contrato!$C$30)</x:f>
      </x:c>
      <x:c r="J304" s="131" t="str">
        <x:f>IF(A304="","",Contrato!$C$31)</x:f>
      </x:c>
      <x:c r="K304" s="131" t="str">
        <x:f>IF(A304="","",ROUND(SUM(G304:J304),2))</x:f>
      </x:c>
      <x:c r="L304" s="80"/>
      <x:c r="M304" s="77"/>
      <x:c r="N304" s="29" t="str">
        <x:f>IF(A304="","",IF(L304&gt;=K304,"Paga",IF(L304&gt;0,"Paga parcialmente",IF(C304&lt;$A$5,"Vencida","Prevista"))))</x:f>
      </x:c>
      <x:c r="O304" s="29" t="str">
        <x:f>IF(A304="","",$A$5-C304)</x:f>
      </x:c>
      <x:c r="P304" s="131" t="str">
        <x:f>IF(A304="","",IF(AND(O304&gt;0,MAX(K304-L304,0)&gt;0,N304&lt;&gt;"Paga"),ROUND(MAX(K304-L304,0)*'Parâmetros'!$B$34,2),0))</x:f>
      </x:c>
      <x:c r="Q304" s="131" t="str">
        <x:f>IF(A304="","",IF(AND(O304&gt;0,MAX(K304-L304,0)&gt;0,N304&lt;&gt;"Paga"),ROUND(MAX(K304-L304,0)*'Parâmetros'!$B$35*(O304/'Parâmetros'!$B$33),2),0))</x:f>
      </x:c>
      <x:c r="R304" s="131" t="str">
        <x:f>IF(A304="","",IF(O304&gt;0,ROUND(MAX(K304-L304,0)+P304+Q304,2),0))</x:f>
      </x:c>
      <x:c r="S304" s="131" t="str">
        <x:f>IF(A304="","",IF(OR(N304="Paga",O304&gt;0),0,ROUND(IF(K304=0,0,G304*MAX(K304-L304,0)/K304)/(1+'Parâmetros'!$C$13)^((C304-$A$5)/30),2)))</x:f>
      </x:c>
      <x:c r="T304" s="131" t="str">
        <x:f>IF(A304="","",0)</x:f>
      </x:c>
      <x:c r="U304" s="131" t="str">
        <x:f>IF(A304="","",0)</x:f>
      </x:c>
      <x:c r="V304" s="131" t="str">
        <x:f>IF(A304="","",IF(N304="Paga",0,IF(O304&gt;0,R304,S304)))</x:f>
      </x:c>
      <x:c r="W304" s="131" t="str">
        <x:f>IF(A304="","",ROUND(MAX(D304-F304,0),2))</x:f>
      </x:c>
      <x:c r="X304" s="131" t="str">
        <x:f>IF(A304="","",ROUND(SUM($G304:$G$407),2))</x:f>
      </x:c>
      <x:c r="Y304" s="131" t="str">
        <x:f>IF(A304="","",ROUND(MAX(X304-D304,0),2))</x:f>
      </x:c>
      <x:c r="Z304" s="131" t="str">
        <x:f>IF(A304="","",ROUND(SUM($V304:$V$407),2))</x:f>
      </x:c>
      <x:c r="AA304" s="131" t="str">
        <x:f>IF(A304="","",ROUND(SUM($K304:$K$407)-Z304,2))</x:f>
      </x:c>
      <x:c r="AB304" s="77"/>
      <x:c r="AC304" s="36" t="str">
        <x:f>IF(A304="","",IF(O304&gt;0,"Vencido: saldo da fatura + mora",IF(O304&lt;=0,"Vincendo: VP da parcela financeira; comissão/proteção futuras isentas","")))</x:f>
      </x:c>
    </x:row>
    <x:row r="305">
      <x:c r="A305" s="129" t="str">
        <x:f>IF(ROW()-7&lt;=Contrato!$C$16,ROW()-7,"")</x:f>
      </x:c>
      <x:c r="B305" s="129" t="str">
        <x:f>IF(A305="","",Contrato!$C$16)</x:f>
      </x:c>
      <x:c r="C305" s="130" t="str">
        <x:f>IF(A305="","",IF(AB305&lt;&gt;"",AB305,IF(Contrato!$C$14="Mensal",EDATE(Contrato!$C$13,A305-1),Contrato!$C$13+(A305-1)*IF(Contrato!$C$14="Quinzenal",14,IF(Contrato!$C$14="Semanal",7,1)))))</x:f>
      </x:c>
      <x:c r="D305" s="131" t="str">
        <x:f>IF(A305="","",W304)</x:f>
      </x:c>
      <x:c r="E305" s="131" t="str">
        <x:f>IF(A305="","",ROUND(D305*Simulador!$I$18,2))</x:f>
      </x:c>
      <x:c r="F305" s="131" t="str">
        <x:f>IF(A305="","",ROUND(MIN(D305,MAX(G305-E305,0)),2))</x:f>
      </x:c>
      <x:c r="G305" s="131" t="str">
        <x:f>IF(A305="","",IF(A305&lt;Contrato!$C$16,Contrato!$C$27,Contrato!$C$28))</x:f>
      </x:c>
      <x:c r="H305" s="131" t="str">
        <x:f>IF(A305="","",Contrato!$C$29)</x:f>
      </x:c>
      <x:c r="I305" s="131" t="str">
        <x:f>IF(A305="","",Contrato!$C$30)</x:f>
      </x:c>
      <x:c r="J305" s="131" t="str">
        <x:f>IF(A305="","",Contrato!$C$31)</x:f>
      </x:c>
      <x:c r="K305" s="131" t="str">
        <x:f>IF(A305="","",ROUND(SUM(G305:J305),2))</x:f>
      </x:c>
      <x:c r="L305" s="80"/>
      <x:c r="M305" s="77"/>
      <x:c r="N305" s="29" t="str">
        <x:f>IF(A305="","",IF(L305&gt;=K305,"Paga",IF(L305&gt;0,"Paga parcialmente",IF(C305&lt;$A$5,"Vencida","Prevista"))))</x:f>
      </x:c>
      <x:c r="O305" s="29" t="str">
        <x:f>IF(A305="","",$A$5-C305)</x:f>
      </x:c>
      <x:c r="P305" s="131" t="str">
        <x:f>IF(A305="","",IF(AND(O305&gt;0,MAX(K305-L305,0)&gt;0,N305&lt;&gt;"Paga"),ROUND(MAX(K305-L305,0)*'Parâmetros'!$B$34,2),0))</x:f>
      </x:c>
      <x:c r="Q305" s="131" t="str">
        <x:f>IF(A305="","",IF(AND(O305&gt;0,MAX(K305-L305,0)&gt;0,N305&lt;&gt;"Paga"),ROUND(MAX(K305-L305,0)*'Parâmetros'!$B$35*(O305/'Parâmetros'!$B$33),2),0))</x:f>
      </x:c>
      <x:c r="R305" s="131" t="str">
        <x:f>IF(A305="","",IF(O305&gt;0,ROUND(MAX(K305-L305,0)+P305+Q305,2),0))</x:f>
      </x:c>
      <x:c r="S305" s="131" t="str">
        <x:f>IF(A305="","",IF(OR(N305="Paga",O305&gt;0),0,ROUND(IF(K305=0,0,G305*MAX(K305-L305,0)/K305)/(1+'Parâmetros'!$C$13)^((C305-$A$5)/30),2)))</x:f>
      </x:c>
      <x:c r="T305" s="131" t="str">
        <x:f>IF(A305="","",0)</x:f>
      </x:c>
      <x:c r="U305" s="131" t="str">
        <x:f>IF(A305="","",0)</x:f>
      </x:c>
      <x:c r="V305" s="131" t="str">
        <x:f>IF(A305="","",IF(N305="Paga",0,IF(O305&gt;0,R305,S305)))</x:f>
      </x:c>
      <x:c r="W305" s="131" t="str">
        <x:f>IF(A305="","",ROUND(MAX(D305-F305,0),2))</x:f>
      </x:c>
      <x:c r="X305" s="131" t="str">
        <x:f>IF(A305="","",ROUND(SUM($G305:$G$407),2))</x:f>
      </x:c>
      <x:c r="Y305" s="131" t="str">
        <x:f>IF(A305="","",ROUND(MAX(X305-D305,0),2))</x:f>
      </x:c>
      <x:c r="Z305" s="131" t="str">
        <x:f>IF(A305="","",ROUND(SUM($V305:$V$407),2))</x:f>
      </x:c>
      <x:c r="AA305" s="131" t="str">
        <x:f>IF(A305="","",ROUND(SUM($K305:$K$407)-Z305,2))</x:f>
      </x:c>
      <x:c r="AB305" s="77"/>
      <x:c r="AC305" s="36" t="str">
        <x:f>IF(A305="","",IF(O305&gt;0,"Vencido: saldo da fatura + mora",IF(O305&lt;=0,"Vincendo: VP da parcela financeira; comissão/proteção futuras isentas","")))</x:f>
      </x:c>
    </x:row>
    <x:row r="306">
      <x:c r="A306" s="129" t="str">
        <x:f>IF(ROW()-7&lt;=Contrato!$C$16,ROW()-7,"")</x:f>
      </x:c>
      <x:c r="B306" s="129" t="str">
        <x:f>IF(A306="","",Contrato!$C$16)</x:f>
      </x:c>
      <x:c r="C306" s="130" t="str">
        <x:f>IF(A306="","",IF(AB306&lt;&gt;"",AB306,IF(Contrato!$C$14="Mensal",EDATE(Contrato!$C$13,A306-1),Contrato!$C$13+(A306-1)*IF(Contrato!$C$14="Quinzenal",14,IF(Contrato!$C$14="Semanal",7,1)))))</x:f>
      </x:c>
      <x:c r="D306" s="131" t="str">
        <x:f>IF(A306="","",W305)</x:f>
      </x:c>
      <x:c r="E306" s="131" t="str">
        <x:f>IF(A306="","",ROUND(D306*Simulador!$I$18,2))</x:f>
      </x:c>
      <x:c r="F306" s="131" t="str">
        <x:f>IF(A306="","",ROUND(MIN(D306,MAX(G306-E306,0)),2))</x:f>
      </x:c>
      <x:c r="G306" s="131" t="str">
        <x:f>IF(A306="","",IF(A306&lt;Contrato!$C$16,Contrato!$C$27,Contrato!$C$28))</x:f>
      </x:c>
      <x:c r="H306" s="131" t="str">
        <x:f>IF(A306="","",Contrato!$C$29)</x:f>
      </x:c>
      <x:c r="I306" s="131" t="str">
        <x:f>IF(A306="","",Contrato!$C$30)</x:f>
      </x:c>
      <x:c r="J306" s="131" t="str">
        <x:f>IF(A306="","",Contrato!$C$31)</x:f>
      </x:c>
      <x:c r="K306" s="131" t="str">
        <x:f>IF(A306="","",ROUND(SUM(G306:J306),2))</x:f>
      </x:c>
      <x:c r="L306" s="80"/>
      <x:c r="M306" s="77"/>
      <x:c r="N306" s="29" t="str">
        <x:f>IF(A306="","",IF(L306&gt;=K306,"Paga",IF(L306&gt;0,"Paga parcialmente",IF(C306&lt;$A$5,"Vencida","Prevista"))))</x:f>
      </x:c>
      <x:c r="O306" s="29" t="str">
        <x:f>IF(A306="","",$A$5-C306)</x:f>
      </x:c>
      <x:c r="P306" s="131" t="str">
        <x:f>IF(A306="","",IF(AND(O306&gt;0,MAX(K306-L306,0)&gt;0,N306&lt;&gt;"Paga"),ROUND(MAX(K306-L306,0)*'Parâmetros'!$B$34,2),0))</x:f>
      </x:c>
      <x:c r="Q306" s="131" t="str">
        <x:f>IF(A306="","",IF(AND(O306&gt;0,MAX(K306-L306,0)&gt;0,N306&lt;&gt;"Paga"),ROUND(MAX(K306-L306,0)*'Parâmetros'!$B$35*(O306/'Parâmetros'!$B$33),2),0))</x:f>
      </x:c>
      <x:c r="R306" s="131" t="str">
        <x:f>IF(A306="","",IF(O306&gt;0,ROUND(MAX(K306-L306,0)+P306+Q306,2),0))</x:f>
      </x:c>
      <x:c r="S306" s="131" t="str">
        <x:f>IF(A306="","",IF(OR(N306="Paga",O306&gt;0),0,ROUND(IF(K306=0,0,G306*MAX(K306-L306,0)/K306)/(1+'Parâmetros'!$C$13)^((C306-$A$5)/30),2)))</x:f>
      </x:c>
      <x:c r="T306" s="131" t="str">
        <x:f>IF(A306="","",0)</x:f>
      </x:c>
      <x:c r="U306" s="131" t="str">
        <x:f>IF(A306="","",0)</x:f>
      </x:c>
      <x:c r="V306" s="131" t="str">
        <x:f>IF(A306="","",IF(N306="Paga",0,IF(O306&gt;0,R306,S306)))</x:f>
      </x:c>
      <x:c r="W306" s="131" t="str">
        <x:f>IF(A306="","",ROUND(MAX(D306-F306,0),2))</x:f>
      </x:c>
      <x:c r="X306" s="131" t="str">
        <x:f>IF(A306="","",ROUND(SUM($G306:$G$407),2))</x:f>
      </x:c>
      <x:c r="Y306" s="131" t="str">
        <x:f>IF(A306="","",ROUND(MAX(X306-D306,0),2))</x:f>
      </x:c>
      <x:c r="Z306" s="131" t="str">
        <x:f>IF(A306="","",ROUND(SUM($V306:$V$407),2))</x:f>
      </x:c>
      <x:c r="AA306" s="131" t="str">
        <x:f>IF(A306="","",ROUND(SUM($K306:$K$407)-Z306,2))</x:f>
      </x:c>
      <x:c r="AB306" s="77"/>
      <x:c r="AC306" s="36" t="str">
        <x:f>IF(A306="","",IF(O306&gt;0,"Vencido: saldo da fatura + mora",IF(O306&lt;=0,"Vincendo: VP da parcela financeira; comissão/proteção futuras isentas","")))</x:f>
      </x:c>
    </x:row>
    <x:row r="307">
      <x:c r="A307" s="129" t="str">
        <x:f>IF(ROW()-7&lt;=Contrato!$C$16,ROW()-7,"")</x:f>
      </x:c>
      <x:c r="B307" s="129" t="str">
        <x:f>IF(A307="","",Contrato!$C$16)</x:f>
      </x:c>
      <x:c r="C307" s="130" t="str">
        <x:f>IF(A307="","",IF(AB307&lt;&gt;"",AB307,IF(Contrato!$C$14="Mensal",EDATE(Contrato!$C$13,A307-1),Contrato!$C$13+(A307-1)*IF(Contrato!$C$14="Quinzenal",14,IF(Contrato!$C$14="Semanal",7,1)))))</x:f>
      </x:c>
      <x:c r="D307" s="131" t="str">
        <x:f>IF(A307="","",W306)</x:f>
      </x:c>
      <x:c r="E307" s="131" t="str">
        <x:f>IF(A307="","",ROUND(D307*Simulador!$I$18,2))</x:f>
      </x:c>
      <x:c r="F307" s="131" t="str">
        <x:f>IF(A307="","",ROUND(MIN(D307,MAX(G307-E307,0)),2))</x:f>
      </x:c>
      <x:c r="G307" s="131" t="str">
        <x:f>IF(A307="","",IF(A307&lt;Contrato!$C$16,Contrato!$C$27,Contrato!$C$28))</x:f>
      </x:c>
      <x:c r="H307" s="131" t="str">
        <x:f>IF(A307="","",Contrato!$C$29)</x:f>
      </x:c>
      <x:c r="I307" s="131" t="str">
        <x:f>IF(A307="","",Contrato!$C$30)</x:f>
      </x:c>
      <x:c r="J307" s="131" t="str">
        <x:f>IF(A307="","",Contrato!$C$31)</x:f>
      </x:c>
      <x:c r="K307" s="131" t="str">
        <x:f>IF(A307="","",ROUND(SUM(G307:J307),2))</x:f>
      </x:c>
      <x:c r="L307" s="80"/>
      <x:c r="M307" s="77"/>
      <x:c r="N307" s="29" t="str">
        <x:f>IF(A307="","",IF(L307&gt;=K307,"Paga",IF(L307&gt;0,"Paga parcialmente",IF(C307&lt;$A$5,"Vencida","Prevista"))))</x:f>
      </x:c>
      <x:c r="O307" s="29" t="str">
        <x:f>IF(A307="","",$A$5-C307)</x:f>
      </x:c>
      <x:c r="P307" s="131" t="str">
        <x:f>IF(A307="","",IF(AND(O307&gt;0,MAX(K307-L307,0)&gt;0,N307&lt;&gt;"Paga"),ROUND(MAX(K307-L307,0)*'Parâmetros'!$B$34,2),0))</x:f>
      </x:c>
      <x:c r="Q307" s="131" t="str">
        <x:f>IF(A307="","",IF(AND(O307&gt;0,MAX(K307-L307,0)&gt;0,N307&lt;&gt;"Paga"),ROUND(MAX(K307-L307,0)*'Parâmetros'!$B$35*(O307/'Parâmetros'!$B$33),2),0))</x:f>
      </x:c>
      <x:c r="R307" s="131" t="str">
        <x:f>IF(A307="","",IF(O307&gt;0,ROUND(MAX(K307-L307,0)+P307+Q307,2),0))</x:f>
      </x:c>
      <x:c r="S307" s="131" t="str">
        <x:f>IF(A307="","",IF(OR(N307="Paga",O307&gt;0),0,ROUND(IF(K307=0,0,G307*MAX(K307-L307,0)/K307)/(1+'Parâmetros'!$C$13)^((C307-$A$5)/30),2)))</x:f>
      </x:c>
      <x:c r="T307" s="131" t="str">
        <x:f>IF(A307="","",0)</x:f>
      </x:c>
      <x:c r="U307" s="131" t="str">
        <x:f>IF(A307="","",0)</x:f>
      </x:c>
      <x:c r="V307" s="131" t="str">
        <x:f>IF(A307="","",IF(N307="Paga",0,IF(O307&gt;0,R307,S307)))</x:f>
      </x:c>
      <x:c r="W307" s="131" t="str">
        <x:f>IF(A307="","",ROUND(MAX(D307-F307,0),2))</x:f>
      </x:c>
      <x:c r="X307" s="131" t="str">
        <x:f>IF(A307="","",ROUND(SUM($G307:$G$407),2))</x:f>
      </x:c>
      <x:c r="Y307" s="131" t="str">
        <x:f>IF(A307="","",ROUND(MAX(X307-D307,0),2))</x:f>
      </x:c>
      <x:c r="Z307" s="131" t="str">
        <x:f>IF(A307="","",ROUND(SUM($V307:$V$407),2))</x:f>
      </x:c>
      <x:c r="AA307" s="131" t="str">
        <x:f>IF(A307="","",ROUND(SUM($K307:$K$407)-Z307,2))</x:f>
      </x:c>
      <x:c r="AB307" s="77"/>
      <x:c r="AC307" s="36" t="str">
        <x:f>IF(A307="","",IF(O307&gt;0,"Vencido: saldo da fatura + mora",IF(O307&lt;=0,"Vincendo: VP da parcela financeira; comissão/proteção futuras isentas","")))</x:f>
      </x:c>
    </x:row>
    <x:row r="308">
      <x:c r="A308" s="129" t="str">
        <x:f>IF(ROW()-7&lt;=Contrato!$C$16,ROW()-7,"")</x:f>
      </x:c>
      <x:c r="B308" s="129" t="str">
        <x:f>IF(A308="","",Contrato!$C$16)</x:f>
      </x:c>
      <x:c r="C308" s="130" t="str">
        <x:f>IF(A308="","",IF(AB308&lt;&gt;"",AB308,IF(Contrato!$C$14="Mensal",EDATE(Contrato!$C$13,A308-1),Contrato!$C$13+(A308-1)*IF(Contrato!$C$14="Quinzenal",14,IF(Contrato!$C$14="Semanal",7,1)))))</x:f>
      </x:c>
      <x:c r="D308" s="131" t="str">
        <x:f>IF(A308="","",W307)</x:f>
      </x:c>
      <x:c r="E308" s="131" t="str">
        <x:f>IF(A308="","",ROUND(D308*Simulador!$I$18,2))</x:f>
      </x:c>
      <x:c r="F308" s="131" t="str">
        <x:f>IF(A308="","",ROUND(MIN(D308,MAX(G308-E308,0)),2))</x:f>
      </x:c>
      <x:c r="G308" s="131" t="str">
        <x:f>IF(A308="","",IF(A308&lt;Contrato!$C$16,Contrato!$C$27,Contrato!$C$28))</x:f>
      </x:c>
      <x:c r="H308" s="131" t="str">
        <x:f>IF(A308="","",Contrato!$C$29)</x:f>
      </x:c>
      <x:c r="I308" s="131" t="str">
        <x:f>IF(A308="","",Contrato!$C$30)</x:f>
      </x:c>
      <x:c r="J308" s="131" t="str">
        <x:f>IF(A308="","",Contrato!$C$31)</x:f>
      </x:c>
      <x:c r="K308" s="131" t="str">
        <x:f>IF(A308="","",ROUND(SUM(G308:J308),2))</x:f>
      </x:c>
      <x:c r="L308" s="80"/>
      <x:c r="M308" s="77"/>
      <x:c r="N308" s="29" t="str">
        <x:f>IF(A308="","",IF(L308&gt;=K308,"Paga",IF(L308&gt;0,"Paga parcialmente",IF(C308&lt;$A$5,"Vencida","Prevista"))))</x:f>
      </x:c>
      <x:c r="O308" s="29" t="str">
        <x:f>IF(A308="","",$A$5-C308)</x:f>
      </x:c>
      <x:c r="P308" s="131" t="str">
        <x:f>IF(A308="","",IF(AND(O308&gt;0,MAX(K308-L308,0)&gt;0,N308&lt;&gt;"Paga"),ROUND(MAX(K308-L308,0)*'Parâmetros'!$B$34,2),0))</x:f>
      </x:c>
      <x:c r="Q308" s="131" t="str">
        <x:f>IF(A308="","",IF(AND(O308&gt;0,MAX(K308-L308,0)&gt;0,N308&lt;&gt;"Paga"),ROUND(MAX(K308-L308,0)*'Parâmetros'!$B$35*(O308/'Parâmetros'!$B$33),2),0))</x:f>
      </x:c>
      <x:c r="R308" s="131" t="str">
        <x:f>IF(A308="","",IF(O308&gt;0,ROUND(MAX(K308-L308,0)+P308+Q308,2),0))</x:f>
      </x:c>
      <x:c r="S308" s="131" t="str">
        <x:f>IF(A308="","",IF(OR(N308="Paga",O308&gt;0),0,ROUND(IF(K308=0,0,G308*MAX(K308-L308,0)/K308)/(1+'Parâmetros'!$C$13)^((C308-$A$5)/30),2)))</x:f>
      </x:c>
      <x:c r="T308" s="131" t="str">
        <x:f>IF(A308="","",0)</x:f>
      </x:c>
      <x:c r="U308" s="131" t="str">
        <x:f>IF(A308="","",0)</x:f>
      </x:c>
      <x:c r="V308" s="131" t="str">
        <x:f>IF(A308="","",IF(N308="Paga",0,IF(O308&gt;0,R308,S308)))</x:f>
      </x:c>
      <x:c r="W308" s="131" t="str">
        <x:f>IF(A308="","",ROUND(MAX(D308-F308,0),2))</x:f>
      </x:c>
      <x:c r="X308" s="131" t="str">
        <x:f>IF(A308="","",ROUND(SUM($G308:$G$407),2))</x:f>
      </x:c>
      <x:c r="Y308" s="131" t="str">
        <x:f>IF(A308="","",ROUND(MAX(X308-D308,0),2))</x:f>
      </x:c>
      <x:c r="Z308" s="131" t="str">
        <x:f>IF(A308="","",ROUND(SUM($V308:$V$407),2))</x:f>
      </x:c>
      <x:c r="AA308" s="131" t="str">
        <x:f>IF(A308="","",ROUND(SUM($K308:$K$407)-Z308,2))</x:f>
      </x:c>
      <x:c r="AB308" s="77"/>
      <x:c r="AC308" s="36" t="str">
        <x:f>IF(A308="","",IF(O308&gt;0,"Vencido: saldo da fatura + mora",IF(O308&lt;=0,"Vincendo: VP da parcela financeira; comissão/proteção futuras isentas","")))</x:f>
      </x:c>
    </x:row>
    <x:row r="309">
      <x:c r="A309" s="129" t="str">
        <x:f>IF(ROW()-7&lt;=Contrato!$C$16,ROW()-7,"")</x:f>
      </x:c>
      <x:c r="B309" s="129" t="str">
        <x:f>IF(A309="","",Contrato!$C$16)</x:f>
      </x:c>
      <x:c r="C309" s="130" t="str">
        <x:f>IF(A309="","",IF(AB309&lt;&gt;"",AB309,IF(Contrato!$C$14="Mensal",EDATE(Contrato!$C$13,A309-1),Contrato!$C$13+(A309-1)*IF(Contrato!$C$14="Quinzenal",14,IF(Contrato!$C$14="Semanal",7,1)))))</x:f>
      </x:c>
      <x:c r="D309" s="131" t="str">
        <x:f>IF(A309="","",W308)</x:f>
      </x:c>
      <x:c r="E309" s="131" t="str">
        <x:f>IF(A309="","",ROUND(D309*Simulador!$I$18,2))</x:f>
      </x:c>
      <x:c r="F309" s="131" t="str">
        <x:f>IF(A309="","",ROUND(MIN(D309,MAX(G309-E309,0)),2))</x:f>
      </x:c>
      <x:c r="G309" s="131" t="str">
        <x:f>IF(A309="","",IF(A309&lt;Contrato!$C$16,Contrato!$C$27,Contrato!$C$28))</x:f>
      </x:c>
      <x:c r="H309" s="131" t="str">
        <x:f>IF(A309="","",Contrato!$C$29)</x:f>
      </x:c>
      <x:c r="I309" s="131" t="str">
        <x:f>IF(A309="","",Contrato!$C$30)</x:f>
      </x:c>
      <x:c r="J309" s="131" t="str">
        <x:f>IF(A309="","",Contrato!$C$31)</x:f>
      </x:c>
      <x:c r="K309" s="131" t="str">
        <x:f>IF(A309="","",ROUND(SUM(G309:J309),2))</x:f>
      </x:c>
      <x:c r="L309" s="80"/>
      <x:c r="M309" s="77"/>
      <x:c r="N309" s="29" t="str">
        <x:f>IF(A309="","",IF(L309&gt;=K309,"Paga",IF(L309&gt;0,"Paga parcialmente",IF(C309&lt;$A$5,"Vencida","Prevista"))))</x:f>
      </x:c>
      <x:c r="O309" s="29" t="str">
        <x:f>IF(A309="","",$A$5-C309)</x:f>
      </x:c>
      <x:c r="P309" s="131" t="str">
        <x:f>IF(A309="","",IF(AND(O309&gt;0,MAX(K309-L309,0)&gt;0,N309&lt;&gt;"Paga"),ROUND(MAX(K309-L309,0)*'Parâmetros'!$B$34,2),0))</x:f>
      </x:c>
      <x:c r="Q309" s="131" t="str">
        <x:f>IF(A309="","",IF(AND(O309&gt;0,MAX(K309-L309,0)&gt;0,N309&lt;&gt;"Paga"),ROUND(MAX(K309-L309,0)*'Parâmetros'!$B$35*(O309/'Parâmetros'!$B$33),2),0))</x:f>
      </x:c>
      <x:c r="R309" s="131" t="str">
        <x:f>IF(A309="","",IF(O309&gt;0,ROUND(MAX(K309-L309,0)+P309+Q309,2),0))</x:f>
      </x:c>
      <x:c r="S309" s="131" t="str">
        <x:f>IF(A309="","",IF(OR(N309="Paga",O309&gt;0),0,ROUND(IF(K309=0,0,G309*MAX(K309-L309,0)/K309)/(1+'Parâmetros'!$C$13)^((C309-$A$5)/30),2)))</x:f>
      </x:c>
      <x:c r="T309" s="131" t="str">
        <x:f>IF(A309="","",0)</x:f>
      </x:c>
      <x:c r="U309" s="131" t="str">
        <x:f>IF(A309="","",0)</x:f>
      </x:c>
      <x:c r="V309" s="131" t="str">
        <x:f>IF(A309="","",IF(N309="Paga",0,IF(O309&gt;0,R309,S309)))</x:f>
      </x:c>
      <x:c r="W309" s="131" t="str">
        <x:f>IF(A309="","",ROUND(MAX(D309-F309,0),2))</x:f>
      </x:c>
      <x:c r="X309" s="131" t="str">
        <x:f>IF(A309="","",ROUND(SUM($G309:$G$407),2))</x:f>
      </x:c>
      <x:c r="Y309" s="131" t="str">
        <x:f>IF(A309="","",ROUND(MAX(X309-D309,0),2))</x:f>
      </x:c>
      <x:c r="Z309" s="131" t="str">
        <x:f>IF(A309="","",ROUND(SUM($V309:$V$407),2))</x:f>
      </x:c>
      <x:c r="AA309" s="131" t="str">
        <x:f>IF(A309="","",ROUND(SUM($K309:$K$407)-Z309,2))</x:f>
      </x:c>
      <x:c r="AB309" s="77"/>
      <x:c r="AC309" s="36" t="str">
        <x:f>IF(A309="","",IF(O309&gt;0,"Vencido: saldo da fatura + mora",IF(O309&lt;=0,"Vincendo: VP da parcela financeira; comissão/proteção futuras isentas","")))</x:f>
      </x:c>
    </x:row>
    <x:row r="310">
      <x:c r="A310" s="129" t="str">
        <x:f>IF(ROW()-7&lt;=Contrato!$C$16,ROW()-7,"")</x:f>
      </x:c>
      <x:c r="B310" s="129" t="str">
        <x:f>IF(A310="","",Contrato!$C$16)</x:f>
      </x:c>
      <x:c r="C310" s="130" t="str">
        <x:f>IF(A310="","",IF(AB310&lt;&gt;"",AB310,IF(Contrato!$C$14="Mensal",EDATE(Contrato!$C$13,A310-1),Contrato!$C$13+(A310-1)*IF(Contrato!$C$14="Quinzenal",14,IF(Contrato!$C$14="Semanal",7,1)))))</x:f>
      </x:c>
      <x:c r="D310" s="131" t="str">
        <x:f>IF(A310="","",W309)</x:f>
      </x:c>
      <x:c r="E310" s="131" t="str">
        <x:f>IF(A310="","",ROUND(D310*Simulador!$I$18,2))</x:f>
      </x:c>
      <x:c r="F310" s="131" t="str">
        <x:f>IF(A310="","",ROUND(MIN(D310,MAX(G310-E310,0)),2))</x:f>
      </x:c>
      <x:c r="G310" s="131" t="str">
        <x:f>IF(A310="","",IF(A310&lt;Contrato!$C$16,Contrato!$C$27,Contrato!$C$28))</x:f>
      </x:c>
      <x:c r="H310" s="131" t="str">
        <x:f>IF(A310="","",Contrato!$C$29)</x:f>
      </x:c>
      <x:c r="I310" s="131" t="str">
        <x:f>IF(A310="","",Contrato!$C$30)</x:f>
      </x:c>
      <x:c r="J310" s="131" t="str">
        <x:f>IF(A310="","",Contrato!$C$31)</x:f>
      </x:c>
      <x:c r="K310" s="131" t="str">
        <x:f>IF(A310="","",ROUND(SUM(G310:J310),2))</x:f>
      </x:c>
      <x:c r="L310" s="80"/>
      <x:c r="M310" s="77"/>
      <x:c r="N310" s="29" t="str">
        <x:f>IF(A310="","",IF(L310&gt;=K310,"Paga",IF(L310&gt;0,"Paga parcialmente",IF(C310&lt;$A$5,"Vencida","Prevista"))))</x:f>
      </x:c>
      <x:c r="O310" s="29" t="str">
        <x:f>IF(A310="","",$A$5-C310)</x:f>
      </x:c>
      <x:c r="P310" s="131" t="str">
        <x:f>IF(A310="","",IF(AND(O310&gt;0,MAX(K310-L310,0)&gt;0,N310&lt;&gt;"Paga"),ROUND(MAX(K310-L310,0)*'Parâmetros'!$B$34,2),0))</x:f>
      </x:c>
      <x:c r="Q310" s="131" t="str">
        <x:f>IF(A310="","",IF(AND(O310&gt;0,MAX(K310-L310,0)&gt;0,N310&lt;&gt;"Paga"),ROUND(MAX(K310-L310,0)*'Parâmetros'!$B$35*(O310/'Parâmetros'!$B$33),2),0))</x:f>
      </x:c>
      <x:c r="R310" s="131" t="str">
        <x:f>IF(A310="","",IF(O310&gt;0,ROUND(MAX(K310-L310,0)+P310+Q310,2),0))</x:f>
      </x:c>
      <x:c r="S310" s="131" t="str">
        <x:f>IF(A310="","",IF(OR(N310="Paga",O310&gt;0),0,ROUND(IF(K310=0,0,G310*MAX(K310-L310,0)/K310)/(1+'Parâmetros'!$C$13)^((C310-$A$5)/30),2)))</x:f>
      </x:c>
      <x:c r="T310" s="131" t="str">
        <x:f>IF(A310="","",0)</x:f>
      </x:c>
      <x:c r="U310" s="131" t="str">
        <x:f>IF(A310="","",0)</x:f>
      </x:c>
      <x:c r="V310" s="131" t="str">
        <x:f>IF(A310="","",IF(N310="Paga",0,IF(O310&gt;0,R310,S310)))</x:f>
      </x:c>
      <x:c r="W310" s="131" t="str">
        <x:f>IF(A310="","",ROUND(MAX(D310-F310,0),2))</x:f>
      </x:c>
      <x:c r="X310" s="131" t="str">
        <x:f>IF(A310="","",ROUND(SUM($G310:$G$407),2))</x:f>
      </x:c>
      <x:c r="Y310" s="131" t="str">
        <x:f>IF(A310="","",ROUND(MAX(X310-D310,0),2))</x:f>
      </x:c>
      <x:c r="Z310" s="131" t="str">
        <x:f>IF(A310="","",ROUND(SUM($V310:$V$407),2))</x:f>
      </x:c>
      <x:c r="AA310" s="131" t="str">
        <x:f>IF(A310="","",ROUND(SUM($K310:$K$407)-Z310,2))</x:f>
      </x:c>
      <x:c r="AB310" s="77"/>
      <x:c r="AC310" s="36" t="str">
        <x:f>IF(A310="","",IF(O310&gt;0,"Vencido: saldo da fatura + mora",IF(O310&lt;=0,"Vincendo: VP da parcela financeira; comissão/proteção futuras isentas","")))</x:f>
      </x:c>
    </x:row>
    <x:row r="311">
      <x:c r="A311" s="129" t="str">
        <x:f>IF(ROW()-7&lt;=Contrato!$C$16,ROW()-7,"")</x:f>
      </x:c>
      <x:c r="B311" s="129" t="str">
        <x:f>IF(A311="","",Contrato!$C$16)</x:f>
      </x:c>
      <x:c r="C311" s="130" t="str">
        <x:f>IF(A311="","",IF(AB311&lt;&gt;"",AB311,IF(Contrato!$C$14="Mensal",EDATE(Contrato!$C$13,A311-1),Contrato!$C$13+(A311-1)*IF(Contrato!$C$14="Quinzenal",14,IF(Contrato!$C$14="Semanal",7,1)))))</x:f>
      </x:c>
      <x:c r="D311" s="131" t="str">
        <x:f>IF(A311="","",W310)</x:f>
      </x:c>
      <x:c r="E311" s="131" t="str">
        <x:f>IF(A311="","",ROUND(D311*Simulador!$I$18,2))</x:f>
      </x:c>
      <x:c r="F311" s="131" t="str">
        <x:f>IF(A311="","",ROUND(MIN(D311,MAX(G311-E311,0)),2))</x:f>
      </x:c>
      <x:c r="G311" s="131" t="str">
        <x:f>IF(A311="","",IF(A311&lt;Contrato!$C$16,Contrato!$C$27,Contrato!$C$28))</x:f>
      </x:c>
      <x:c r="H311" s="131" t="str">
        <x:f>IF(A311="","",Contrato!$C$29)</x:f>
      </x:c>
      <x:c r="I311" s="131" t="str">
        <x:f>IF(A311="","",Contrato!$C$30)</x:f>
      </x:c>
      <x:c r="J311" s="131" t="str">
        <x:f>IF(A311="","",Contrato!$C$31)</x:f>
      </x:c>
      <x:c r="K311" s="131" t="str">
        <x:f>IF(A311="","",ROUND(SUM(G311:J311),2))</x:f>
      </x:c>
      <x:c r="L311" s="80"/>
      <x:c r="M311" s="77"/>
      <x:c r="N311" s="29" t="str">
        <x:f>IF(A311="","",IF(L311&gt;=K311,"Paga",IF(L311&gt;0,"Paga parcialmente",IF(C311&lt;$A$5,"Vencida","Prevista"))))</x:f>
      </x:c>
      <x:c r="O311" s="29" t="str">
        <x:f>IF(A311="","",$A$5-C311)</x:f>
      </x:c>
      <x:c r="P311" s="131" t="str">
        <x:f>IF(A311="","",IF(AND(O311&gt;0,MAX(K311-L311,0)&gt;0,N311&lt;&gt;"Paga"),ROUND(MAX(K311-L311,0)*'Parâmetros'!$B$34,2),0))</x:f>
      </x:c>
      <x:c r="Q311" s="131" t="str">
        <x:f>IF(A311="","",IF(AND(O311&gt;0,MAX(K311-L311,0)&gt;0,N311&lt;&gt;"Paga"),ROUND(MAX(K311-L311,0)*'Parâmetros'!$B$35*(O311/'Parâmetros'!$B$33),2),0))</x:f>
      </x:c>
      <x:c r="R311" s="131" t="str">
        <x:f>IF(A311="","",IF(O311&gt;0,ROUND(MAX(K311-L311,0)+P311+Q311,2),0))</x:f>
      </x:c>
      <x:c r="S311" s="131" t="str">
        <x:f>IF(A311="","",IF(OR(N311="Paga",O311&gt;0),0,ROUND(IF(K311=0,0,G311*MAX(K311-L311,0)/K311)/(1+'Parâmetros'!$C$13)^((C311-$A$5)/30),2)))</x:f>
      </x:c>
      <x:c r="T311" s="131" t="str">
        <x:f>IF(A311="","",0)</x:f>
      </x:c>
      <x:c r="U311" s="131" t="str">
        <x:f>IF(A311="","",0)</x:f>
      </x:c>
      <x:c r="V311" s="131" t="str">
        <x:f>IF(A311="","",IF(N311="Paga",0,IF(O311&gt;0,R311,S311)))</x:f>
      </x:c>
      <x:c r="W311" s="131" t="str">
        <x:f>IF(A311="","",ROUND(MAX(D311-F311,0),2))</x:f>
      </x:c>
      <x:c r="X311" s="131" t="str">
        <x:f>IF(A311="","",ROUND(SUM($G311:$G$407),2))</x:f>
      </x:c>
      <x:c r="Y311" s="131" t="str">
        <x:f>IF(A311="","",ROUND(MAX(X311-D311,0),2))</x:f>
      </x:c>
      <x:c r="Z311" s="131" t="str">
        <x:f>IF(A311="","",ROUND(SUM($V311:$V$407),2))</x:f>
      </x:c>
      <x:c r="AA311" s="131" t="str">
        <x:f>IF(A311="","",ROUND(SUM($K311:$K$407)-Z311,2))</x:f>
      </x:c>
      <x:c r="AB311" s="77"/>
      <x:c r="AC311" s="36" t="str">
        <x:f>IF(A311="","",IF(O311&gt;0,"Vencido: saldo da fatura + mora",IF(O311&lt;=0,"Vincendo: VP da parcela financeira; comissão/proteção futuras isentas","")))</x:f>
      </x:c>
    </x:row>
    <x:row r="312">
      <x:c r="A312" s="129" t="str">
        <x:f>IF(ROW()-7&lt;=Contrato!$C$16,ROW()-7,"")</x:f>
      </x:c>
      <x:c r="B312" s="129" t="str">
        <x:f>IF(A312="","",Contrato!$C$16)</x:f>
      </x:c>
      <x:c r="C312" s="130" t="str">
        <x:f>IF(A312="","",IF(AB312&lt;&gt;"",AB312,IF(Contrato!$C$14="Mensal",EDATE(Contrato!$C$13,A312-1),Contrato!$C$13+(A312-1)*IF(Contrato!$C$14="Quinzenal",14,IF(Contrato!$C$14="Semanal",7,1)))))</x:f>
      </x:c>
      <x:c r="D312" s="131" t="str">
        <x:f>IF(A312="","",W311)</x:f>
      </x:c>
      <x:c r="E312" s="131" t="str">
        <x:f>IF(A312="","",ROUND(D312*Simulador!$I$18,2))</x:f>
      </x:c>
      <x:c r="F312" s="131" t="str">
        <x:f>IF(A312="","",ROUND(MIN(D312,MAX(G312-E312,0)),2))</x:f>
      </x:c>
      <x:c r="G312" s="131" t="str">
        <x:f>IF(A312="","",IF(A312&lt;Contrato!$C$16,Contrato!$C$27,Contrato!$C$28))</x:f>
      </x:c>
      <x:c r="H312" s="131" t="str">
        <x:f>IF(A312="","",Contrato!$C$29)</x:f>
      </x:c>
      <x:c r="I312" s="131" t="str">
        <x:f>IF(A312="","",Contrato!$C$30)</x:f>
      </x:c>
      <x:c r="J312" s="131" t="str">
        <x:f>IF(A312="","",Contrato!$C$31)</x:f>
      </x:c>
      <x:c r="K312" s="131" t="str">
        <x:f>IF(A312="","",ROUND(SUM(G312:J312),2))</x:f>
      </x:c>
      <x:c r="L312" s="80"/>
      <x:c r="M312" s="77"/>
      <x:c r="N312" s="29" t="str">
        <x:f>IF(A312="","",IF(L312&gt;=K312,"Paga",IF(L312&gt;0,"Paga parcialmente",IF(C312&lt;$A$5,"Vencida","Prevista"))))</x:f>
      </x:c>
      <x:c r="O312" s="29" t="str">
        <x:f>IF(A312="","",$A$5-C312)</x:f>
      </x:c>
      <x:c r="P312" s="131" t="str">
        <x:f>IF(A312="","",IF(AND(O312&gt;0,MAX(K312-L312,0)&gt;0,N312&lt;&gt;"Paga"),ROUND(MAX(K312-L312,0)*'Parâmetros'!$B$34,2),0))</x:f>
      </x:c>
      <x:c r="Q312" s="131" t="str">
        <x:f>IF(A312="","",IF(AND(O312&gt;0,MAX(K312-L312,0)&gt;0,N312&lt;&gt;"Paga"),ROUND(MAX(K312-L312,0)*'Parâmetros'!$B$35*(O312/'Parâmetros'!$B$33),2),0))</x:f>
      </x:c>
      <x:c r="R312" s="131" t="str">
        <x:f>IF(A312="","",IF(O312&gt;0,ROUND(MAX(K312-L312,0)+P312+Q312,2),0))</x:f>
      </x:c>
      <x:c r="S312" s="131" t="str">
        <x:f>IF(A312="","",IF(OR(N312="Paga",O312&gt;0),0,ROUND(IF(K312=0,0,G312*MAX(K312-L312,0)/K312)/(1+'Parâmetros'!$C$13)^((C312-$A$5)/30),2)))</x:f>
      </x:c>
      <x:c r="T312" s="131" t="str">
        <x:f>IF(A312="","",0)</x:f>
      </x:c>
      <x:c r="U312" s="131" t="str">
        <x:f>IF(A312="","",0)</x:f>
      </x:c>
      <x:c r="V312" s="131" t="str">
        <x:f>IF(A312="","",IF(N312="Paga",0,IF(O312&gt;0,R312,S312)))</x:f>
      </x:c>
      <x:c r="W312" s="131" t="str">
        <x:f>IF(A312="","",ROUND(MAX(D312-F312,0),2))</x:f>
      </x:c>
      <x:c r="X312" s="131" t="str">
        <x:f>IF(A312="","",ROUND(SUM($G312:$G$407),2))</x:f>
      </x:c>
      <x:c r="Y312" s="131" t="str">
        <x:f>IF(A312="","",ROUND(MAX(X312-D312,0),2))</x:f>
      </x:c>
      <x:c r="Z312" s="131" t="str">
        <x:f>IF(A312="","",ROUND(SUM($V312:$V$407),2))</x:f>
      </x:c>
      <x:c r="AA312" s="131" t="str">
        <x:f>IF(A312="","",ROUND(SUM($K312:$K$407)-Z312,2))</x:f>
      </x:c>
      <x:c r="AB312" s="77"/>
      <x:c r="AC312" s="36" t="str">
        <x:f>IF(A312="","",IF(O312&gt;0,"Vencido: saldo da fatura + mora",IF(O312&lt;=0,"Vincendo: VP da parcela financeira; comissão/proteção futuras isentas","")))</x:f>
      </x:c>
    </x:row>
    <x:row r="313">
      <x:c r="A313" s="129" t="str">
        <x:f>IF(ROW()-7&lt;=Contrato!$C$16,ROW()-7,"")</x:f>
      </x:c>
      <x:c r="B313" s="129" t="str">
        <x:f>IF(A313="","",Contrato!$C$16)</x:f>
      </x:c>
      <x:c r="C313" s="130" t="str">
        <x:f>IF(A313="","",IF(AB313&lt;&gt;"",AB313,IF(Contrato!$C$14="Mensal",EDATE(Contrato!$C$13,A313-1),Contrato!$C$13+(A313-1)*IF(Contrato!$C$14="Quinzenal",14,IF(Contrato!$C$14="Semanal",7,1)))))</x:f>
      </x:c>
      <x:c r="D313" s="131" t="str">
        <x:f>IF(A313="","",W312)</x:f>
      </x:c>
      <x:c r="E313" s="131" t="str">
        <x:f>IF(A313="","",ROUND(D313*Simulador!$I$18,2))</x:f>
      </x:c>
      <x:c r="F313" s="131" t="str">
        <x:f>IF(A313="","",ROUND(MIN(D313,MAX(G313-E313,0)),2))</x:f>
      </x:c>
      <x:c r="G313" s="131" t="str">
        <x:f>IF(A313="","",IF(A313&lt;Contrato!$C$16,Contrato!$C$27,Contrato!$C$28))</x:f>
      </x:c>
      <x:c r="H313" s="131" t="str">
        <x:f>IF(A313="","",Contrato!$C$29)</x:f>
      </x:c>
      <x:c r="I313" s="131" t="str">
        <x:f>IF(A313="","",Contrato!$C$30)</x:f>
      </x:c>
      <x:c r="J313" s="131" t="str">
        <x:f>IF(A313="","",Contrato!$C$31)</x:f>
      </x:c>
      <x:c r="K313" s="131" t="str">
        <x:f>IF(A313="","",ROUND(SUM(G313:J313),2))</x:f>
      </x:c>
      <x:c r="L313" s="80"/>
      <x:c r="M313" s="77"/>
      <x:c r="N313" s="29" t="str">
        <x:f>IF(A313="","",IF(L313&gt;=K313,"Paga",IF(L313&gt;0,"Paga parcialmente",IF(C313&lt;$A$5,"Vencida","Prevista"))))</x:f>
      </x:c>
      <x:c r="O313" s="29" t="str">
        <x:f>IF(A313="","",$A$5-C313)</x:f>
      </x:c>
      <x:c r="P313" s="131" t="str">
        <x:f>IF(A313="","",IF(AND(O313&gt;0,MAX(K313-L313,0)&gt;0,N313&lt;&gt;"Paga"),ROUND(MAX(K313-L313,0)*'Parâmetros'!$B$34,2),0))</x:f>
      </x:c>
      <x:c r="Q313" s="131" t="str">
        <x:f>IF(A313="","",IF(AND(O313&gt;0,MAX(K313-L313,0)&gt;0,N313&lt;&gt;"Paga"),ROUND(MAX(K313-L313,0)*'Parâmetros'!$B$35*(O313/'Parâmetros'!$B$33),2),0))</x:f>
      </x:c>
      <x:c r="R313" s="131" t="str">
        <x:f>IF(A313="","",IF(O313&gt;0,ROUND(MAX(K313-L313,0)+P313+Q313,2),0))</x:f>
      </x:c>
      <x:c r="S313" s="131" t="str">
        <x:f>IF(A313="","",IF(OR(N313="Paga",O313&gt;0),0,ROUND(IF(K313=0,0,G313*MAX(K313-L313,0)/K313)/(1+'Parâmetros'!$C$13)^((C313-$A$5)/30),2)))</x:f>
      </x:c>
      <x:c r="T313" s="131" t="str">
        <x:f>IF(A313="","",0)</x:f>
      </x:c>
      <x:c r="U313" s="131" t="str">
        <x:f>IF(A313="","",0)</x:f>
      </x:c>
      <x:c r="V313" s="131" t="str">
        <x:f>IF(A313="","",IF(N313="Paga",0,IF(O313&gt;0,R313,S313)))</x:f>
      </x:c>
      <x:c r="W313" s="131" t="str">
        <x:f>IF(A313="","",ROUND(MAX(D313-F313,0),2))</x:f>
      </x:c>
      <x:c r="X313" s="131" t="str">
        <x:f>IF(A313="","",ROUND(SUM($G313:$G$407),2))</x:f>
      </x:c>
      <x:c r="Y313" s="131" t="str">
        <x:f>IF(A313="","",ROUND(MAX(X313-D313,0),2))</x:f>
      </x:c>
      <x:c r="Z313" s="131" t="str">
        <x:f>IF(A313="","",ROUND(SUM($V313:$V$407),2))</x:f>
      </x:c>
      <x:c r="AA313" s="131" t="str">
        <x:f>IF(A313="","",ROUND(SUM($K313:$K$407)-Z313,2))</x:f>
      </x:c>
      <x:c r="AB313" s="77"/>
      <x:c r="AC313" s="36" t="str">
        <x:f>IF(A313="","",IF(O313&gt;0,"Vencido: saldo da fatura + mora",IF(O313&lt;=0,"Vincendo: VP da parcela financeira; comissão/proteção futuras isentas","")))</x:f>
      </x:c>
    </x:row>
    <x:row r="314">
      <x:c r="A314" s="129" t="str">
        <x:f>IF(ROW()-7&lt;=Contrato!$C$16,ROW()-7,"")</x:f>
      </x:c>
      <x:c r="B314" s="129" t="str">
        <x:f>IF(A314="","",Contrato!$C$16)</x:f>
      </x:c>
      <x:c r="C314" s="130" t="str">
        <x:f>IF(A314="","",IF(AB314&lt;&gt;"",AB314,IF(Contrato!$C$14="Mensal",EDATE(Contrato!$C$13,A314-1),Contrato!$C$13+(A314-1)*IF(Contrato!$C$14="Quinzenal",14,IF(Contrato!$C$14="Semanal",7,1)))))</x:f>
      </x:c>
      <x:c r="D314" s="131" t="str">
        <x:f>IF(A314="","",W313)</x:f>
      </x:c>
      <x:c r="E314" s="131" t="str">
        <x:f>IF(A314="","",ROUND(D314*Simulador!$I$18,2))</x:f>
      </x:c>
      <x:c r="F314" s="131" t="str">
        <x:f>IF(A314="","",ROUND(MIN(D314,MAX(G314-E314,0)),2))</x:f>
      </x:c>
      <x:c r="G314" s="131" t="str">
        <x:f>IF(A314="","",IF(A314&lt;Contrato!$C$16,Contrato!$C$27,Contrato!$C$28))</x:f>
      </x:c>
      <x:c r="H314" s="131" t="str">
        <x:f>IF(A314="","",Contrato!$C$29)</x:f>
      </x:c>
      <x:c r="I314" s="131" t="str">
        <x:f>IF(A314="","",Contrato!$C$30)</x:f>
      </x:c>
      <x:c r="J314" s="131" t="str">
        <x:f>IF(A314="","",Contrato!$C$31)</x:f>
      </x:c>
      <x:c r="K314" s="131" t="str">
        <x:f>IF(A314="","",ROUND(SUM(G314:J314),2))</x:f>
      </x:c>
      <x:c r="L314" s="80"/>
      <x:c r="M314" s="77"/>
      <x:c r="N314" s="29" t="str">
        <x:f>IF(A314="","",IF(L314&gt;=K314,"Paga",IF(L314&gt;0,"Paga parcialmente",IF(C314&lt;$A$5,"Vencida","Prevista"))))</x:f>
      </x:c>
      <x:c r="O314" s="29" t="str">
        <x:f>IF(A314="","",$A$5-C314)</x:f>
      </x:c>
      <x:c r="P314" s="131" t="str">
        <x:f>IF(A314="","",IF(AND(O314&gt;0,MAX(K314-L314,0)&gt;0,N314&lt;&gt;"Paga"),ROUND(MAX(K314-L314,0)*'Parâmetros'!$B$34,2),0))</x:f>
      </x:c>
      <x:c r="Q314" s="131" t="str">
        <x:f>IF(A314="","",IF(AND(O314&gt;0,MAX(K314-L314,0)&gt;0,N314&lt;&gt;"Paga"),ROUND(MAX(K314-L314,0)*'Parâmetros'!$B$35*(O314/'Parâmetros'!$B$33),2),0))</x:f>
      </x:c>
      <x:c r="R314" s="131" t="str">
        <x:f>IF(A314="","",IF(O314&gt;0,ROUND(MAX(K314-L314,0)+P314+Q314,2),0))</x:f>
      </x:c>
      <x:c r="S314" s="131" t="str">
        <x:f>IF(A314="","",IF(OR(N314="Paga",O314&gt;0),0,ROUND(IF(K314=0,0,G314*MAX(K314-L314,0)/K314)/(1+'Parâmetros'!$C$13)^((C314-$A$5)/30),2)))</x:f>
      </x:c>
      <x:c r="T314" s="131" t="str">
        <x:f>IF(A314="","",0)</x:f>
      </x:c>
      <x:c r="U314" s="131" t="str">
        <x:f>IF(A314="","",0)</x:f>
      </x:c>
      <x:c r="V314" s="131" t="str">
        <x:f>IF(A314="","",IF(N314="Paga",0,IF(O314&gt;0,R314,S314)))</x:f>
      </x:c>
      <x:c r="W314" s="131" t="str">
        <x:f>IF(A314="","",ROUND(MAX(D314-F314,0),2))</x:f>
      </x:c>
      <x:c r="X314" s="131" t="str">
        <x:f>IF(A314="","",ROUND(SUM($G314:$G$407),2))</x:f>
      </x:c>
      <x:c r="Y314" s="131" t="str">
        <x:f>IF(A314="","",ROUND(MAX(X314-D314,0),2))</x:f>
      </x:c>
      <x:c r="Z314" s="131" t="str">
        <x:f>IF(A314="","",ROUND(SUM($V314:$V$407),2))</x:f>
      </x:c>
      <x:c r="AA314" s="131" t="str">
        <x:f>IF(A314="","",ROUND(SUM($K314:$K$407)-Z314,2))</x:f>
      </x:c>
      <x:c r="AB314" s="77"/>
      <x:c r="AC314" s="36" t="str">
        <x:f>IF(A314="","",IF(O314&gt;0,"Vencido: saldo da fatura + mora",IF(O314&lt;=0,"Vincendo: VP da parcela financeira; comissão/proteção futuras isentas","")))</x:f>
      </x:c>
    </x:row>
    <x:row r="315">
      <x:c r="A315" s="129" t="str">
        <x:f>IF(ROW()-7&lt;=Contrato!$C$16,ROW()-7,"")</x:f>
      </x:c>
      <x:c r="B315" s="129" t="str">
        <x:f>IF(A315="","",Contrato!$C$16)</x:f>
      </x:c>
      <x:c r="C315" s="130" t="str">
        <x:f>IF(A315="","",IF(AB315&lt;&gt;"",AB315,IF(Contrato!$C$14="Mensal",EDATE(Contrato!$C$13,A315-1),Contrato!$C$13+(A315-1)*IF(Contrato!$C$14="Quinzenal",14,IF(Contrato!$C$14="Semanal",7,1)))))</x:f>
      </x:c>
      <x:c r="D315" s="131" t="str">
        <x:f>IF(A315="","",W314)</x:f>
      </x:c>
      <x:c r="E315" s="131" t="str">
        <x:f>IF(A315="","",ROUND(D315*Simulador!$I$18,2))</x:f>
      </x:c>
      <x:c r="F315" s="131" t="str">
        <x:f>IF(A315="","",ROUND(MIN(D315,MAX(G315-E315,0)),2))</x:f>
      </x:c>
      <x:c r="G315" s="131" t="str">
        <x:f>IF(A315="","",IF(A315&lt;Contrato!$C$16,Contrato!$C$27,Contrato!$C$28))</x:f>
      </x:c>
      <x:c r="H315" s="131" t="str">
        <x:f>IF(A315="","",Contrato!$C$29)</x:f>
      </x:c>
      <x:c r="I315" s="131" t="str">
        <x:f>IF(A315="","",Contrato!$C$30)</x:f>
      </x:c>
      <x:c r="J315" s="131" t="str">
        <x:f>IF(A315="","",Contrato!$C$31)</x:f>
      </x:c>
      <x:c r="K315" s="131" t="str">
        <x:f>IF(A315="","",ROUND(SUM(G315:J315),2))</x:f>
      </x:c>
      <x:c r="L315" s="80"/>
      <x:c r="M315" s="77"/>
      <x:c r="N315" s="29" t="str">
        <x:f>IF(A315="","",IF(L315&gt;=K315,"Paga",IF(L315&gt;0,"Paga parcialmente",IF(C315&lt;$A$5,"Vencida","Prevista"))))</x:f>
      </x:c>
      <x:c r="O315" s="29" t="str">
        <x:f>IF(A315="","",$A$5-C315)</x:f>
      </x:c>
      <x:c r="P315" s="131" t="str">
        <x:f>IF(A315="","",IF(AND(O315&gt;0,MAX(K315-L315,0)&gt;0,N315&lt;&gt;"Paga"),ROUND(MAX(K315-L315,0)*'Parâmetros'!$B$34,2),0))</x:f>
      </x:c>
      <x:c r="Q315" s="131" t="str">
        <x:f>IF(A315="","",IF(AND(O315&gt;0,MAX(K315-L315,0)&gt;0,N315&lt;&gt;"Paga"),ROUND(MAX(K315-L315,0)*'Parâmetros'!$B$35*(O315/'Parâmetros'!$B$33),2),0))</x:f>
      </x:c>
      <x:c r="R315" s="131" t="str">
        <x:f>IF(A315="","",IF(O315&gt;0,ROUND(MAX(K315-L315,0)+P315+Q315,2),0))</x:f>
      </x:c>
      <x:c r="S315" s="131" t="str">
        <x:f>IF(A315="","",IF(OR(N315="Paga",O315&gt;0),0,ROUND(IF(K315=0,0,G315*MAX(K315-L315,0)/K315)/(1+'Parâmetros'!$C$13)^((C315-$A$5)/30),2)))</x:f>
      </x:c>
      <x:c r="T315" s="131" t="str">
        <x:f>IF(A315="","",0)</x:f>
      </x:c>
      <x:c r="U315" s="131" t="str">
        <x:f>IF(A315="","",0)</x:f>
      </x:c>
      <x:c r="V315" s="131" t="str">
        <x:f>IF(A315="","",IF(N315="Paga",0,IF(O315&gt;0,R315,S315)))</x:f>
      </x:c>
      <x:c r="W315" s="131" t="str">
        <x:f>IF(A315="","",ROUND(MAX(D315-F315,0),2))</x:f>
      </x:c>
      <x:c r="X315" s="131" t="str">
        <x:f>IF(A315="","",ROUND(SUM($G315:$G$407),2))</x:f>
      </x:c>
      <x:c r="Y315" s="131" t="str">
        <x:f>IF(A315="","",ROUND(MAX(X315-D315,0),2))</x:f>
      </x:c>
      <x:c r="Z315" s="131" t="str">
        <x:f>IF(A315="","",ROUND(SUM($V315:$V$407),2))</x:f>
      </x:c>
      <x:c r="AA315" s="131" t="str">
        <x:f>IF(A315="","",ROUND(SUM($K315:$K$407)-Z315,2))</x:f>
      </x:c>
      <x:c r="AB315" s="77"/>
      <x:c r="AC315" s="36" t="str">
        <x:f>IF(A315="","",IF(O315&gt;0,"Vencido: saldo da fatura + mora",IF(O315&lt;=0,"Vincendo: VP da parcela financeira; comissão/proteção futuras isentas","")))</x:f>
      </x:c>
    </x:row>
    <x:row r="316">
      <x:c r="A316" s="129" t="str">
        <x:f>IF(ROW()-7&lt;=Contrato!$C$16,ROW()-7,"")</x:f>
      </x:c>
      <x:c r="B316" s="129" t="str">
        <x:f>IF(A316="","",Contrato!$C$16)</x:f>
      </x:c>
      <x:c r="C316" s="130" t="str">
        <x:f>IF(A316="","",IF(AB316&lt;&gt;"",AB316,IF(Contrato!$C$14="Mensal",EDATE(Contrato!$C$13,A316-1),Contrato!$C$13+(A316-1)*IF(Contrato!$C$14="Quinzenal",14,IF(Contrato!$C$14="Semanal",7,1)))))</x:f>
      </x:c>
      <x:c r="D316" s="131" t="str">
        <x:f>IF(A316="","",W315)</x:f>
      </x:c>
      <x:c r="E316" s="131" t="str">
        <x:f>IF(A316="","",ROUND(D316*Simulador!$I$18,2))</x:f>
      </x:c>
      <x:c r="F316" s="131" t="str">
        <x:f>IF(A316="","",ROUND(MIN(D316,MAX(G316-E316,0)),2))</x:f>
      </x:c>
      <x:c r="G316" s="131" t="str">
        <x:f>IF(A316="","",IF(A316&lt;Contrato!$C$16,Contrato!$C$27,Contrato!$C$28))</x:f>
      </x:c>
      <x:c r="H316" s="131" t="str">
        <x:f>IF(A316="","",Contrato!$C$29)</x:f>
      </x:c>
      <x:c r="I316" s="131" t="str">
        <x:f>IF(A316="","",Contrato!$C$30)</x:f>
      </x:c>
      <x:c r="J316" s="131" t="str">
        <x:f>IF(A316="","",Contrato!$C$31)</x:f>
      </x:c>
      <x:c r="K316" s="131" t="str">
        <x:f>IF(A316="","",ROUND(SUM(G316:J316),2))</x:f>
      </x:c>
      <x:c r="L316" s="80"/>
      <x:c r="M316" s="77"/>
      <x:c r="N316" s="29" t="str">
        <x:f>IF(A316="","",IF(L316&gt;=K316,"Paga",IF(L316&gt;0,"Paga parcialmente",IF(C316&lt;$A$5,"Vencida","Prevista"))))</x:f>
      </x:c>
      <x:c r="O316" s="29" t="str">
        <x:f>IF(A316="","",$A$5-C316)</x:f>
      </x:c>
      <x:c r="P316" s="131" t="str">
        <x:f>IF(A316="","",IF(AND(O316&gt;0,MAX(K316-L316,0)&gt;0,N316&lt;&gt;"Paga"),ROUND(MAX(K316-L316,0)*'Parâmetros'!$B$34,2),0))</x:f>
      </x:c>
      <x:c r="Q316" s="131" t="str">
        <x:f>IF(A316="","",IF(AND(O316&gt;0,MAX(K316-L316,0)&gt;0,N316&lt;&gt;"Paga"),ROUND(MAX(K316-L316,0)*'Parâmetros'!$B$35*(O316/'Parâmetros'!$B$33),2),0))</x:f>
      </x:c>
      <x:c r="R316" s="131" t="str">
        <x:f>IF(A316="","",IF(O316&gt;0,ROUND(MAX(K316-L316,0)+P316+Q316,2),0))</x:f>
      </x:c>
      <x:c r="S316" s="131" t="str">
        <x:f>IF(A316="","",IF(OR(N316="Paga",O316&gt;0),0,ROUND(IF(K316=0,0,G316*MAX(K316-L316,0)/K316)/(1+'Parâmetros'!$C$13)^((C316-$A$5)/30),2)))</x:f>
      </x:c>
      <x:c r="T316" s="131" t="str">
        <x:f>IF(A316="","",0)</x:f>
      </x:c>
      <x:c r="U316" s="131" t="str">
        <x:f>IF(A316="","",0)</x:f>
      </x:c>
      <x:c r="V316" s="131" t="str">
        <x:f>IF(A316="","",IF(N316="Paga",0,IF(O316&gt;0,R316,S316)))</x:f>
      </x:c>
      <x:c r="W316" s="131" t="str">
        <x:f>IF(A316="","",ROUND(MAX(D316-F316,0),2))</x:f>
      </x:c>
      <x:c r="X316" s="131" t="str">
        <x:f>IF(A316="","",ROUND(SUM($G316:$G$407),2))</x:f>
      </x:c>
      <x:c r="Y316" s="131" t="str">
        <x:f>IF(A316="","",ROUND(MAX(X316-D316,0),2))</x:f>
      </x:c>
      <x:c r="Z316" s="131" t="str">
        <x:f>IF(A316="","",ROUND(SUM($V316:$V$407),2))</x:f>
      </x:c>
      <x:c r="AA316" s="131" t="str">
        <x:f>IF(A316="","",ROUND(SUM($K316:$K$407)-Z316,2))</x:f>
      </x:c>
      <x:c r="AB316" s="77"/>
      <x:c r="AC316" s="36" t="str">
        <x:f>IF(A316="","",IF(O316&gt;0,"Vencido: saldo da fatura + mora",IF(O316&lt;=0,"Vincendo: VP da parcela financeira; comissão/proteção futuras isentas","")))</x:f>
      </x:c>
    </x:row>
    <x:row r="317">
      <x:c r="A317" s="129" t="str">
        <x:f>IF(ROW()-7&lt;=Contrato!$C$16,ROW()-7,"")</x:f>
      </x:c>
      <x:c r="B317" s="129" t="str">
        <x:f>IF(A317="","",Contrato!$C$16)</x:f>
      </x:c>
      <x:c r="C317" s="130" t="str">
        <x:f>IF(A317="","",IF(AB317&lt;&gt;"",AB317,IF(Contrato!$C$14="Mensal",EDATE(Contrato!$C$13,A317-1),Contrato!$C$13+(A317-1)*IF(Contrato!$C$14="Quinzenal",14,IF(Contrato!$C$14="Semanal",7,1)))))</x:f>
      </x:c>
      <x:c r="D317" s="131" t="str">
        <x:f>IF(A317="","",W316)</x:f>
      </x:c>
      <x:c r="E317" s="131" t="str">
        <x:f>IF(A317="","",ROUND(D317*Simulador!$I$18,2))</x:f>
      </x:c>
      <x:c r="F317" s="131" t="str">
        <x:f>IF(A317="","",ROUND(MIN(D317,MAX(G317-E317,0)),2))</x:f>
      </x:c>
      <x:c r="G317" s="131" t="str">
        <x:f>IF(A317="","",IF(A317&lt;Contrato!$C$16,Contrato!$C$27,Contrato!$C$28))</x:f>
      </x:c>
      <x:c r="H317" s="131" t="str">
        <x:f>IF(A317="","",Contrato!$C$29)</x:f>
      </x:c>
      <x:c r="I317" s="131" t="str">
        <x:f>IF(A317="","",Contrato!$C$30)</x:f>
      </x:c>
      <x:c r="J317" s="131" t="str">
        <x:f>IF(A317="","",Contrato!$C$31)</x:f>
      </x:c>
      <x:c r="K317" s="131" t="str">
        <x:f>IF(A317="","",ROUND(SUM(G317:J317),2))</x:f>
      </x:c>
      <x:c r="L317" s="80"/>
      <x:c r="M317" s="77"/>
      <x:c r="N317" s="29" t="str">
        <x:f>IF(A317="","",IF(L317&gt;=K317,"Paga",IF(L317&gt;0,"Paga parcialmente",IF(C317&lt;$A$5,"Vencida","Prevista"))))</x:f>
      </x:c>
      <x:c r="O317" s="29" t="str">
        <x:f>IF(A317="","",$A$5-C317)</x:f>
      </x:c>
      <x:c r="P317" s="131" t="str">
        <x:f>IF(A317="","",IF(AND(O317&gt;0,MAX(K317-L317,0)&gt;0,N317&lt;&gt;"Paga"),ROUND(MAX(K317-L317,0)*'Parâmetros'!$B$34,2),0))</x:f>
      </x:c>
      <x:c r="Q317" s="131" t="str">
        <x:f>IF(A317="","",IF(AND(O317&gt;0,MAX(K317-L317,0)&gt;0,N317&lt;&gt;"Paga"),ROUND(MAX(K317-L317,0)*'Parâmetros'!$B$35*(O317/'Parâmetros'!$B$33),2),0))</x:f>
      </x:c>
      <x:c r="R317" s="131" t="str">
        <x:f>IF(A317="","",IF(O317&gt;0,ROUND(MAX(K317-L317,0)+P317+Q317,2),0))</x:f>
      </x:c>
      <x:c r="S317" s="131" t="str">
        <x:f>IF(A317="","",IF(OR(N317="Paga",O317&gt;0),0,ROUND(IF(K317=0,0,G317*MAX(K317-L317,0)/K317)/(1+'Parâmetros'!$C$13)^((C317-$A$5)/30),2)))</x:f>
      </x:c>
      <x:c r="T317" s="131" t="str">
        <x:f>IF(A317="","",0)</x:f>
      </x:c>
      <x:c r="U317" s="131" t="str">
        <x:f>IF(A317="","",0)</x:f>
      </x:c>
      <x:c r="V317" s="131" t="str">
        <x:f>IF(A317="","",IF(N317="Paga",0,IF(O317&gt;0,R317,S317)))</x:f>
      </x:c>
      <x:c r="W317" s="131" t="str">
        <x:f>IF(A317="","",ROUND(MAX(D317-F317,0),2))</x:f>
      </x:c>
      <x:c r="X317" s="131" t="str">
        <x:f>IF(A317="","",ROUND(SUM($G317:$G$407),2))</x:f>
      </x:c>
      <x:c r="Y317" s="131" t="str">
        <x:f>IF(A317="","",ROUND(MAX(X317-D317,0),2))</x:f>
      </x:c>
      <x:c r="Z317" s="131" t="str">
        <x:f>IF(A317="","",ROUND(SUM($V317:$V$407),2))</x:f>
      </x:c>
      <x:c r="AA317" s="131" t="str">
        <x:f>IF(A317="","",ROUND(SUM($K317:$K$407)-Z317,2))</x:f>
      </x:c>
      <x:c r="AB317" s="77"/>
      <x:c r="AC317" s="36" t="str">
        <x:f>IF(A317="","",IF(O317&gt;0,"Vencido: saldo da fatura + mora",IF(O317&lt;=0,"Vincendo: VP da parcela financeira; comissão/proteção futuras isentas","")))</x:f>
      </x:c>
    </x:row>
    <x:row r="318">
      <x:c r="A318" s="129" t="str">
        <x:f>IF(ROW()-7&lt;=Contrato!$C$16,ROW()-7,"")</x:f>
      </x:c>
      <x:c r="B318" s="129" t="str">
        <x:f>IF(A318="","",Contrato!$C$16)</x:f>
      </x:c>
      <x:c r="C318" s="130" t="str">
        <x:f>IF(A318="","",IF(AB318&lt;&gt;"",AB318,IF(Contrato!$C$14="Mensal",EDATE(Contrato!$C$13,A318-1),Contrato!$C$13+(A318-1)*IF(Contrato!$C$14="Quinzenal",14,IF(Contrato!$C$14="Semanal",7,1)))))</x:f>
      </x:c>
      <x:c r="D318" s="131" t="str">
        <x:f>IF(A318="","",W317)</x:f>
      </x:c>
      <x:c r="E318" s="131" t="str">
        <x:f>IF(A318="","",ROUND(D318*Simulador!$I$18,2))</x:f>
      </x:c>
      <x:c r="F318" s="131" t="str">
        <x:f>IF(A318="","",ROUND(MIN(D318,MAX(G318-E318,0)),2))</x:f>
      </x:c>
      <x:c r="G318" s="131" t="str">
        <x:f>IF(A318="","",IF(A318&lt;Contrato!$C$16,Contrato!$C$27,Contrato!$C$28))</x:f>
      </x:c>
      <x:c r="H318" s="131" t="str">
        <x:f>IF(A318="","",Contrato!$C$29)</x:f>
      </x:c>
      <x:c r="I318" s="131" t="str">
        <x:f>IF(A318="","",Contrato!$C$30)</x:f>
      </x:c>
      <x:c r="J318" s="131" t="str">
        <x:f>IF(A318="","",Contrato!$C$31)</x:f>
      </x:c>
      <x:c r="K318" s="131" t="str">
        <x:f>IF(A318="","",ROUND(SUM(G318:J318),2))</x:f>
      </x:c>
      <x:c r="L318" s="80"/>
      <x:c r="M318" s="77"/>
      <x:c r="N318" s="29" t="str">
        <x:f>IF(A318="","",IF(L318&gt;=K318,"Paga",IF(L318&gt;0,"Paga parcialmente",IF(C318&lt;$A$5,"Vencida","Prevista"))))</x:f>
      </x:c>
      <x:c r="O318" s="29" t="str">
        <x:f>IF(A318="","",$A$5-C318)</x:f>
      </x:c>
      <x:c r="P318" s="131" t="str">
        <x:f>IF(A318="","",IF(AND(O318&gt;0,MAX(K318-L318,0)&gt;0,N318&lt;&gt;"Paga"),ROUND(MAX(K318-L318,0)*'Parâmetros'!$B$34,2),0))</x:f>
      </x:c>
      <x:c r="Q318" s="131" t="str">
        <x:f>IF(A318="","",IF(AND(O318&gt;0,MAX(K318-L318,0)&gt;0,N318&lt;&gt;"Paga"),ROUND(MAX(K318-L318,0)*'Parâmetros'!$B$35*(O318/'Parâmetros'!$B$33),2),0))</x:f>
      </x:c>
      <x:c r="R318" s="131" t="str">
        <x:f>IF(A318="","",IF(O318&gt;0,ROUND(MAX(K318-L318,0)+P318+Q318,2),0))</x:f>
      </x:c>
      <x:c r="S318" s="131" t="str">
        <x:f>IF(A318="","",IF(OR(N318="Paga",O318&gt;0),0,ROUND(IF(K318=0,0,G318*MAX(K318-L318,0)/K318)/(1+'Parâmetros'!$C$13)^((C318-$A$5)/30),2)))</x:f>
      </x:c>
      <x:c r="T318" s="131" t="str">
        <x:f>IF(A318="","",0)</x:f>
      </x:c>
      <x:c r="U318" s="131" t="str">
        <x:f>IF(A318="","",0)</x:f>
      </x:c>
      <x:c r="V318" s="131" t="str">
        <x:f>IF(A318="","",IF(N318="Paga",0,IF(O318&gt;0,R318,S318)))</x:f>
      </x:c>
      <x:c r="W318" s="131" t="str">
        <x:f>IF(A318="","",ROUND(MAX(D318-F318,0),2))</x:f>
      </x:c>
      <x:c r="X318" s="131" t="str">
        <x:f>IF(A318="","",ROUND(SUM($G318:$G$407),2))</x:f>
      </x:c>
      <x:c r="Y318" s="131" t="str">
        <x:f>IF(A318="","",ROUND(MAX(X318-D318,0),2))</x:f>
      </x:c>
      <x:c r="Z318" s="131" t="str">
        <x:f>IF(A318="","",ROUND(SUM($V318:$V$407),2))</x:f>
      </x:c>
      <x:c r="AA318" s="131" t="str">
        <x:f>IF(A318="","",ROUND(SUM($K318:$K$407)-Z318,2))</x:f>
      </x:c>
      <x:c r="AB318" s="77"/>
      <x:c r="AC318" s="36" t="str">
        <x:f>IF(A318="","",IF(O318&gt;0,"Vencido: saldo da fatura + mora",IF(O318&lt;=0,"Vincendo: VP da parcela financeira; comissão/proteção futuras isentas","")))</x:f>
      </x:c>
    </x:row>
    <x:row r="319">
      <x:c r="A319" s="129" t="str">
        <x:f>IF(ROW()-7&lt;=Contrato!$C$16,ROW()-7,"")</x:f>
      </x:c>
      <x:c r="B319" s="129" t="str">
        <x:f>IF(A319="","",Contrato!$C$16)</x:f>
      </x:c>
      <x:c r="C319" s="130" t="str">
        <x:f>IF(A319="","",IF(AB319&lt;&gt;"",AB319,IF(Contrato!$C$14="Mensal",EDATE(Contrato!$C$13,A319-1),Contrato!$C$13+(A319-1)*IF(Contrato!$C$14="Quinzenal",14,IF(Contrato!$C$14="Semanal",7,1)))))</x:f>
      </x:c>
      <x:c r="D319" s="131" t="str">
        <x:f>IF(A319="","",W318)</x:f>
      </x:c>
      <x:c r="E319" s="131" t="str">
        <x:f>IF(A319="","",ROUND(D319*Simulador!$I$18,2))</x:f>
      </x:c>
      <x:c r="F319" s="131" t="str">
        <x:f>IF(A319="","",ROUND(MIN(D319,MAX(G319-E319,0)),2))</x:f>
      </x:c>
      <x:c r="G319" s="131" t="str">
        <x:f>IF(A319="","",IF(A319&lt;Contrato!$C$16,Contrato!$C$27,Contrato!$C$28))</x:f>
      </x:c>
      <x:c r="H319" s="131" t="str">
        <x:f>IF(A319="","",Contrato!$C$29)</x:f>
      </x:c>
      <x:c r="I319" s="131" t="str">
        <x:f>IF(A319="","",Contrato!$C$30)</x:f>
      </x:c>
      <x:c r="J319" s="131" t="str">
        <x:f>IF(A319="","",Contrato!$C$31)</x:f>
      </x:c>
      <x:c r="K319" s="131" t="str">
        <x:f>IF(A319="","",ROUND(SUM(G319:J319),2))</x:f>
      </x:c>
      <x:c r="L319" s="80"/>
      <x:c r="M319" s="77"/>
      <x:c r="N319" s="29" t="str">
        <x:f>IF(A319="","",IF(L319&gt;=K319,"Paga",IF(L319&gt;0,"Paga parcialmente",IF(C319&lt;$A$5,"Vencida","Prevista"))))</x:f>
      </x:c>
      <x:c r="O319" s="29" t="str">
        <x:f>IF(A319="","",$A$5-C319)</x:f>
      </x:c>
      <x:c r="P319" s="131" t="str">
        <x:f>IF(A319="","",IF(AND(O319&gt;0,MAX(K319-L319,0)&gt;0,N319&lt;&gt;"Paga"),ROUND(MAX(K319-L319,0)*'Parâmetros'!$B$34,2),0))</x:f>
      </x:c>
      <x:c r="Q319" s="131" t="str">
        <x:f>IF(A319="","",IF(AND(O319&gt;0,MAX(K319-L319,0)&gt;0,N319&lt;&gt;"Paga"),ROUND(MAX(K319-L319,0)*'Parâmetros'!$B$35*(O319/'Parâmetros'!$B$33),2),0))</x:f>
      </x:c>
      <x:c r="R319" s="131" t="str">
        <x:f>IF(A319="","",IF(O319&gt;0,ROUND(MAX(K319-L319,0)+P319+Q319,2),0))</x:f>
      </x:c>
      <x:c r="S319" s="131" t="str">
        <x:f>IF(A319="","",IF(OR(N319="Paga",O319&gt;0),0,ROUND(IF(K319=0,0,G319*MAX(K319-L319,0)/K319)/(1+'Parâmetros'!$C$13)^((C319-$A$5)/30),2)))</x:f>
      </x:c>
      <x:c r="T319" s="131" t="str">
        <x:f>IF(A319="","",0)</x:f>
      </x:c>
      <x:c r="U319" s="131" t="str">
        <x:f>IF(A319="","",0)</x:f>
      </x:c>
      <x:c r="V319" s="131" t="str">
        <x:f>IF(A319="","",IF(N319="Paga",0,IF(O319&gt;0,R319,S319)))</x:f>
      </x:c>
      <x:c r="W319" s="131" t="str">
        <x:f>IF(A319="","",ROUND(MAX(D319-F319,0),2))</x:f>
      </x:c>
      <x:c r="X319" s="131" t="str">
        <x:f>IF(A319="","",ROUND(SUM($G319:$G$407),2))</x:f>
      </x:c>
      <x:c r="Y319" s="131" t="str">
        <x:f>IF(A319="","",ROUND(MAX(X319-D319,0),2))</x:f>
      </x:c>
      <x:c r="Z319" s="131" t="str">
        <x:f>IF(A319="","",ROUND(SUM($V319:$V$407),2))</x:f>
      </x:c>
      <x:c r="AA319" s="131" t="str">
        <x:f>IF(A319="","",ROUND(SUM($K319:$K$407)-Z319,2))</x:f>
      </x:c>
      <x:c r="AB319" s="77"/>
      <x:c r="AC319" s="36" t="str">
        <x:f>IF(A319="","",IF(O319&gt;0,"Vencido: saldo da fatura + mora",IF(O319&lt;=0,"Vincendo: VP da parcela financeira; comissão/proteção futuras isentas","")))</x:f>
      </x:c>
    </x:row>
    <x:row r="320">
      <x:c r="A320" s="129" t="str">
        <x:f>IF(ROW()-7&lt;=Contrato!$C$16,ROW()-7,"")</x:f>
      </x:c>
      <x:c r="B320" s="129" t="str">
        <x:f>IF(A320="","",Contrato!$C$16)</x:f>
      </x:c>
      <x:c r="C320" s="130" t="str">
        <x:f>IF(A320="","",IF(AB320&lt;&gt;"",AB320,IF(Contrato!$C$14="Mensal",EDATE(Contrato!$C$13,A320-1),Contrato!$C$13+(A320-1)*IF(Contrato!$C$14="Quinzenal",14,IF(Contrato!$C$14="Semanal",7,1)))))</x:f>
      </x:c>
      <x:c r="D320" s="131" t="str">
        <x:f>IF(A320="","",W319)</x:f>
      </x:c>
      <x:c r="E320" s="131" t="str">
        <x:f>IF(A320="","",ROUND(D320*Simulador!$I$18,2))</x:f>
      </x:c>
      <x:c r="F320" s="131" t="str">
        <x:f>IF(A320="","",ROUND(MIN(D320,MAX(G320-E320,0)),2))</x:f>
      </x:c>
      <x:c r="G320" s="131" t="str">
        <x:f>IF(A320="","",IF(A320&lt;Contrato!$C$16,Contrato!$C$27,Contrato!$C$28))</x:f>
      </x:c>
      <x:c r="H320" s="131" t="str">
        <x:f>IF(A320="","",Contrato!$C$29)</x:f>
      </x:c>
      <x:c r="I320" s="131" t="str">
        <x:f>IF(A320="","",Contrato!$C$30)</x:f>
      </x:c>
      <x:c r="J320" s="131" t="str">
        <x:f>IF(A320="","",Contrato!$C$31)</x:f>
      </x:c>
      <x:c r="K320" s="131" t="str">
        <x:f>IF(A320="","",ROUND(SUM(G320:J320),2))</x:f>
      </x:c>
      <x:c r="L320" s="80"/>
      <x:c r="M320" s="77"/>
      <x:c r="N320" s="29" t="str">
        <x:f>IF(A320="","",IF(L320&gt;=K320,"Paga",IF(L320&gt;0,"Paga parcialmente",IF(C320&lt;$A$5,"Vencida","Prevista"))))</x:f>
      </x:c>
      <x:c r="O320" s="29" t="str">
        <x:f>IF(A320="","",$A$5-C320)</x:f>
      </x:c>
      <x:c r="P320" s="131" t="str">
        <x:f>IF(A320="","",IF(AND(O320&gt;0,MAX(K320-L320,0)&gt;0,N320&lt;&gt;"Paga"),ROUND(MAX(K320-L320,0)*'Parâmetros'!$B$34,2),0))</x:f>
      </x:c>
      <x:c r="Q320" s="131" t="str">
        <x:f>IF(A320="","",IF(AND(O320&gt;0,MAX(K320-L320,0)&gt;0,N320&lt;&gt;"Paga"),ROUND(MAX(K320-L320,0)*'Parâmetros'!$B$35*(O320/'Parâmetros'!$B$33),2),0))</x:f>
      </x:c>
      <x:c r="R320" s="131" t="str">
        <x:f>IF(A320="","",IF(O320&gt;0,ROUND(MAX(K320-L320,0)+P320+Q320,2),0))</x:f>
      </x:c>
      <x:c r="S320" s="131" t="str">
        <x:f>IF(A320="","",IF(OR(N320="Paga",O320&gt;0),0,ROUND(IF(K320=0,0,G320*MAX(K320-L320,0)/K320)/(1+'Parâmetros'!$C$13)^((C320-$A$5)/30),2)))</x:f>
      </x:c>
      <x:c r="T320" s="131" t="str">
        <x:f>IF(A320="","",0)</x:f>
      </x:c>
      <x:c r="U320" s="131" t="str">
        <x:f>IF(A320="","",0)</x:f>
      </x:c>
      <x:c r="V320" s="131" t="str">
        <x:f>IF(A320="","",IF(N320="Paga",0,IF(O320&gt;0,R320,S320)))</x:f>
      </x:c>
      <x:c r="W320" s="131" t="str">
        <x:f>IF(A320="","",ROUND(MAX(D320-F320,0),2))</x:f>
      </x:c>
      <x:c r="X320" s="131" t="str">
        <x:f>IF(A320="","",ROUND(SUM($G320:$G$407),2))</x:f>
      </x:c>
      <x:c r="Y320" s="131" t="str">
        <x:f>IF(A320="","",ROUND(MAX(X320-D320,0),2))</x:f>
      </x:c>
      <x:c r="Z320" s="131" t="str">
        <x:f>IF(A320="","",ROUND(SUM($V320:$V$407),2))</x:f>
      </x:c>
      <x:c r="AA320" s="131" t="str">
        <x:f>IF(A320="","",ROUND(SUM($K320:$K$407)-Z320,2))</x:f>
      </x:c>
      <x:c r="AB320" s="77"/>
      <x:c r="AC320" s="36" t="str">
        <x:f>IF(A320="","",IF(O320&gt;0,"Vencido: saldo da fatura + mora",IF(O320&lt;=0,"Vincendo: VP da parcela financeira; comissão/proteção futuras isentas","")))</x:f>
      </x:c>
    </x:row>
    <x:row r="321">
      <x:c r="A321" s="129" t="str">
        <x:f>IF(ROW()-7&lt;=Contrato!$C$16,ROW()-7,"")</x:f>
      </x:c>
      <x:c r="B321" s="129" t="str">
        <x:f>IF(A321="","",Contrato!$C$16)</x:f>
      </x:c>
      <x:c r="C321" s="130" t="str">
        <x:f>IF(A321="","",IF(AB321&lt;&gt;"",AB321,IF(Contrato!$C$14="Mensal",EDATE(Contrato!$C$13,A321-1),Contrato!$C$13+(A321-1)*IF(Contrato!$C$14="Quinzenal",14,IF(Contrato!$C$14="Semanal",7,1)))))</x:f>
      </x:c>
      <x:c r="D321" s="131" t="str">
        <x:f>IF(A321="","",W320)</x:f>
      </x:c>
      <x:c r="E321" s="131" t="str">
        <x:f>IF(A321="","",ROUND(D321*Simulador!$I$18,2))</x:f>
      </x:c>
      <x:c r="F321" s="131" t="str">
        <x:f>IF(A321="","",ROUND(MIN(D321,MAX(G321-E321,0)),2))</x:f>
      </x:c>
      <x:c r="G321" s="131" t="str">
        <x:f>IF(A321="","",IF(A321&lt;Contrato!$C$16,Contrato!$C$27,Contrato!$C$28))</x:f>
      </x:c>
      <x:c r="H321" s="131" t="str">
        <x:f>IF(A321="","",Contrato!$C$29)</x:f>
      </x:c>
      <x:c r="I321" s="131" t="str">
        <x:f>IF(A321="","",Contrato!$C$30)</x:f>
      </x:c>
      <x:c r="J321" s="131" t="str">
        <x:f>IF(A321="","",Contrato!$C$31)</x:f>
      </x:c>
      <x:c r="K321" s="131" t="str">
        <x:f>IF(A321="","",ROUND(SUM(G321:J321),2))</x:f>
      </x:c>
      <x:c r="L321" s="80"/>
      <x:c r="M321" s="77"/>
      <x:c r="N321" s="29" t="str">
        <x:f>IF(A321="","",IF(L321&gt;=K321,"Paga",IF(L321&gt;0,"Paga parcialmente",IF(C321&lt;$A$5,"Vencida","Prevista"))))</x:f>
      </x:c>
      <x:c r="O321" s="29" t="str">
        <x:f>IF(A321="","",$A$5-C321)</x:f>
      </x:c>
      <x:c r="P321" s="131" t="str">
        <x:f>IF(A321="","",IF(AND(O321&gt;0,MAX(K321-L321,0)&gt;0,N321&lt;&gt;"Paga"),ROUND(MAX(K321-L321,0)*'Parâmetros'!$B$34,2),0))</x:f>
      </x:c>
      <x:c r="Q321" s="131" t="str">
        <x:f>IF(A321="","",IF(AND(O321&gt;0,MAX(K321-L321,0)&gt;0,N321&lt;&gt;"Paga"),ROUND(MAX(K321-L321,0)*'Parâmetros'!$B$35*(O321/'Parâmetros'!$B$33),2),0))</x:f>
      </x:c>
      <x:c r="R321" s="131" t="str">
        <x:f>IF(A321="","",IF(O321&gt;0,ROUND(MAX(K321-L321,0)+P321+Q321,2),0))</x:f>
      </x:c>
      <x:c r="S321" s="131" t="str">
        <x:f>IF(A321="","",IF(OR(N321="Paga",O321&gt;0),0,ROUND(IF(K321=0,0,G321*MAX(K321-L321,0)/K321)/(1+'Parâmetros'!$C$13)^((C321-$A$5)/30),2)))</x:f>
      </x:c>
      <x:c r="T321" s="131" t="str">
        <x:f>IF(A321="","",0)</x:f>
      </x:c>
      <x:c r="U321" s="131" t="str">
        <x:f>IF(A321="","",0)</x:f>
      </x:c>
      <x:c r="V321" s="131" t="str">
        <x:f>IF(A321="","",IF(N321="Paga",0,IF(O321&gt;0,R321,S321)))</x:f>
      </x:c>
      <x:c r="W321" s="131" t="str">
        <x:f>IF(A321="","",ROUND(MAX(D321-F321,0),2))</x:f>
      </x:c>
      <x:c r="X321" s="131" t="str">
        <x:f>IF(A321="","",ROUND(SUM($G321:$G$407),2))</x:f>
      </x:c>
      <x:c r="Y321" s="131" t="str">
        <x:f>IF(A321="","",ROUND(MAX(X321-D321,0),2))</x:f>
      </x:c>
      <x:c r="Z321" s="131" t="str">
        <x:f>IF(A321="","",ROUND(SUM($V321:$V$407),2))</x:f>
      </x:c>
      <x:c r="AA321" s="131" t="str">
        <x:f>IF(A321="","",ROUND(SUM($K321:$K$407)-Z321,2))</x:f>
      </x:c>
      <x:c r="AB321" s="77"/>
      <x:c r="AC321" s="36" t="str">
        <x:f>IF(A321="","",IF(O321&gt;0,"Vencido: saldo da fatura + mora",IF(O321&lt;=0,"Vincendo: VP da parcela financeira; comissão/proteção futuras isentas","")))</x:f>
      </x:c>
    </x:row>
    <x:row r="322">
      <x:c r="A322" s="129" t="str">
        <x:f>IF(ROW()-7&lt;=Contrato!$C$16,ROW()-7,"")</x:f>
      </x:c>
      <x:c r="B322" s="129" t="str">
        <x:f>IF(A322="","",Contrato!$C$16)</x:f>
      </x:c>
      <x:c r="C322" s="130" t="str">
        <x:f>IF(A322="","",IF(AB322&lt;&gt;"",AB322,IF(Contrato!$C$14="Mensal",EDATE(Contrato!$C$13,A322-1),Contrato!$C$13+(A322-1)*IF(Contrato!$C$14="Quinzenal",14,IF(Contrato!$C$14="Semanal",7,1)))))</x:f>
      </x:c>
      <x:c r="D322" s="131" t="str">
        <x:f>IF(A322="","",W321)</x:f>
      </x:c>
      <x:c r="E322" s="131" t="str">
        <x:f>IF(A322="","",ROUND(D322*Simulador!$I$18,2))</x:f>
      </x:c>
      <x:c r="F322" s="131" t="str">
        <x:f>IF(A322="","",ROUND(MIN(D322,MAX(G322-E322,0)),2))</x:f>
      </x:c>
      <x:c r="G322" s="131" t="str">
        <x:f>IF(A322="","",IF(A322&lt;Contrato!$C$16,Contrato!$C$27,Contrato!$C$28))</x:f>
      </x:c>
      <x:c r="H322" s="131" t="str">
        <x:f>IF(A322="","",Contrato!$C$29)</x:f>
      </x:c>
      <x:c r="I322" s="131" t="str">
        <x:f>IF(A322="","",Contrato!$C$30)</x:f>
      </x:c>
      <x:c r="J322" s="131" t="str">
        <x:f>IF(A322="","",Contrato!$C$31)</x:f>
      </x:c>
      <x:c r="K322" s="131" t="str">
        <x:f>IF(A322="","",ROUND(SUM(G322:J322),2))</x:f>
      </x:c>
      <x:c r="L322" s="80"/>
      <x:c r="M322" s="77"/>
      <x:c r="N322" s="29" t="str">
        <x:f>IF(A322="","",IF(L322&gt;=K322,"Paga",IF(L322&gt;0,"Paga parcialmente",IF(C322&lt;$A$5,"Vencida","Prevista"))))</x:f>
      </x:c>
      <x:c r="O322" s="29" t="str">
        <x:f>IF(A322="","",$A$5-C322)</x:f>
      </x:c>
      <x:c r="P322" s="131" t="str">
        <x:f>IF(A322="","",IF(AND(O322&gt;0,MAX(K322-L322,0)&gt;0,N322&lt;&gt;"Paga"),ROUND(MAX(K322-L322,0)*'Parâmetros'!$B$34,2),0))</x:f>
      </x:c>
      <x:c r="Q322" s="131" t="str">
        <x:f>IF(A322="","",IF(AND(O322&gt;0,MAX(K322-L322,0)&gt;0,N322&lt;&gt;"Paga"),ROUND(MAX(K322-L322,0)*'Parâmetros'!$B$35*(O322/'Parâmetros'!$B$33),2),0))</x:f>
      </x:c>
      <x:c r="R322" s="131" t="str">
        <x:f>IF(A322="","",IF(O322&gt;0,ROUND(MAX(K322-L322,0)+P322+Q322,2),0))</x:f>
      </x:c>
      <x:c r="S322" s="131" t="str">
        <x:f>IF(A322="","",IF(OR(N322="Paga",O322&gt;0),0,ROUND(IF(K322=0,0,G322*MAX(K322-L322,0)/K322)/(1+'Parâmetros'!$C$13)^((C322-$A$5)/30),2)))</x:f>
      </x:c>
      <x:c r="T322" s="131" t="str">
        <x:f>IF(A322="","",0)</x:f>
      </x:c>
      <x:c r="U322" s="131" t="str">
        <x:f>IF(A322="","",0)</x:f>
      </x:c>
      <x:c r="V322" s="131" t="str">
        <x:f>IF(A322="","",IF(N322="Paga",0,IF(O322&gt;0,R322,S322)))</x:f>
      </x:c>
      <x:c r="W322" s="131" t="str">
        <x:f>IF(A322="","",ROUND(MAX(D322-F322,0),2))</x:f>
      </x:c>
      <x:c r="X322" s="131" t="str">
        <x:f>IF(A322="","",ROUND(SUM($G322:$G$407),2))</x:f>
      </x:c>
      <x:c r="Y322" s="131" t="str">
        <x:f>IF(A322="","",ROUND(MAX(X322-D322,0),2))</x:f>
      </x:c>
      <x:c r="Z322" s="131" t="str">
        <x:f>IF(A322="","",ROUND(SUM($V322:$V$407),2))</x:f>
      </x:c>
      <x:c r="AA322" s="131" t="str">
        <x:f>IF(A322="","",ROUND(SUM($K322:$K$407)-Z322,2))</x:f>
      </x:c>
      <x:c r="AB322" s="77"/>
      <x:c r="AC322" s="36" t="str">
        <x:f>IF(A322="","",IF(O322&gt;0,"Vencido: saldo da fatura + mora",IF(O322&lt;=0,"Vincendo: VP da parcela financeira; comissão/proteção futuras isentas","")))</x:f>
      </x:c>
    </x:row>
    <x:row r="323">
      <x:c r="A323" s="129" t="str">
        <x:f>IF(ROW()-7&lt;=Contrato!$C$16,ROW()-7,"")</x:f>
      </x:c>
      <x:c r="B323" s="129" t="str">
        <x:f>IF(A323="","",Contrato!$C$16)</x:f>
      </x:c>
      <x:c r="C323" s="130" t="str">
        <x:f>IF(A323="","",IF(AB323&lt;&gt;"",AB323,IF(Contrato!$C$14="Mensal",EDATE(Contrato!$C$13,A323-1),Contrato!$C$13+(A323-1)*IF(Contrato!$C$14="Quinzenal",14,IF(Contrato!$C$14="Semanal",7,1)))))</x:f>
      </x:c>
      <x:c r="D323" s="131" t="str">
        <x:f>IF(A323="","",W322)</x:f>
      </x:c>
      <x:c r="E323" s="131" t="str">
        <x:f>IF(A323="","",ROUND(D323*Simulador!$I$18,2))</x:f>
      </x:c>
      <x:c r="F323" s="131" t="str">
        <x:f>IF(A323="","",ROUND(MIN(D323,MAX(G323-E323,0)),2))</x:f>
      </x:c>
      <x:c r="G323" s="131" t="str">
        <x:f>IF(A323="","",IF(A323&lt;Contrato!$C$16,Contrato!$C$27,Contrato!$C$28))</x:f>
      </x:c>
      <x:c r="H323" s="131" t="str">
        <x:f>IF(A323="","",Contrato!$C$29)</x:f>
      </x:c>
      <x:c r="I323" s="131" t="str">
        <x:f>IF(A323="","",Contrato!$C$30)</x:f>
      </x:c>
      <x:c r="J323" s="131" t="str">
        <x:f>IF(A323="","",Contrato!$C$31)</x:f>
      </x:c>
      <x:c r="K323" s="131" t="str">
        <x:f>IF(A323="","",ROUND(SUM(G323:J323),2))</x:f>
      </x:c>
      <x:c r="L323" s="80"/>
      <x:c r="M323" s="77"/>
      <x:c r="N323" s="29" t="str">
        <x:f>IF(A323="","",IF(L323&gt;=K323,"Paga",IF(L323&gt;0,"Paga parcialmente",IF(C323&lt;$A$5,"Vencida","Prevista"))))</x:f>
      </x:c>
      <x:c r="O323" s="29" t="str">
        <x:f>IF(A323="","",$A$5-C323)</x:f>
      </x:c>
      <x:c r="P323" s="131" t="str">
        <x:f>IF(A323="","",IF(AND(O323&gt;0,MAX(K323-L323,0)&gt;0,N323&lt;&gt;"Paga"),ROUND(MAX(K323-L323,0)*'Parâmetros'!$B$34,2),0))</x:f>
      </x:c>
      <x:c r="Q323" s="131" t="str">
        <x:f>IF(A323="","",IF(AND(O323&gt;0,MAX(K323-L323,0)&gt;0,N323&lt;&gt;"Paga"),ROUND(MAX(K323-L323,0)*'Parâmetros'!$B$35*(O323/'Parâmetros'!$B$33),2),0))</x:f>
      </x:c>
      <x:c r="R323" s="131" t="str">
        <x:f>IF(A323="","",IF(O323&gt;0,ROUND(MAX(K323-L323,0)+P323+Q323,2),0))</x:f>
      </x:c>
      <x:c r="S323" s="131" t="str">
        <x:f>IF(A323="","",IF(OR(N323="Paga",O323&gt;0),0,ROUND(IF(K323=0,0,G323*MAX(K323-L323,0)/K323)/(1+'Parâmetros'!$C$13)^((C323-$A$5)/30),2)))</x:f>
      </x:c>
      <x:c r="T323" s="131" t="str">
        <x:f>IF(A323="","",0)</x:f>
      </x:c>
      <x:c r="U323" s="131" t="str">
        <x:f>IF(A323="","",0)</x:f>
      </x:c>
      <x:c r="V323" s="131" t="str">
        <x:f>IF(A323="","",IF(N323="Paga",0,IF(O323&gt;0,R323,S323)))</x:f>
      </x:c>
      <x:c r="W323" s="131" t="str">
        <x:f>IF(A323="","",ROUND(MAX(D323-F323,0),2))</x:f>
      </x:c>
      <x:c r="X323" s="131" t="str">
        <x:f>IF(A323="","",ROUND(SUM($G323:$G$407),2))</x:f>
      </x:c>
      <x:c r="Y323" s="131" t="str">
        <x:f>IF(A323="","",ROUND(MAX(X323-D323,0),2))</x:f>
      </x:c>
      <x:c r="Z323" s="131" t="str">
        <x:f>IF(A323="","",ROUND(SUM($V323:$V$407),2))</x:f>
      </x:c>
      <x:c r="AA323" s="131" t="str">
        <x:f>IF(A323="","",ROUND(SUM($K323:$K$407)-Z323,2))</x:f>
      </x:c>
      <x:c r="AB323" s="77"/>
      <x:c r="AC323" s="36" t="str">
        <x:f>IF(A323="","",IF(O323&gt;0,"Vencido: saldo da fatura + mora",IF(O323&lt;=0,"Vincendo: VP da parcela financeira; comissão/proteção futuras isentas","")))</x:f>
      </x:c>
    </x:row>
    <x:row r="324">
      <x:c r="A324" s="129" t="str">
        <x:f>IF(ROW()-7&lt;=Contrato!$C$16,ROW()-7,"")</x:f>
      </x:c>
      <x:c r="B324" s="129" t="str">
        <x:f>IF(A324="","",Contrato!$C$16)</x:f>
      </x:c>
      <x:c r="C324" s="130" t="str">
        <x:f>IF(A324="","",IF(AB324&lt;&gt;"",AB324,IF(Contrato!$C$14="Mensal",EDATE(Contrato!$C$13,A324-1),Contrato!$C$13+(A324-1)*IF(Contrato!$C$14="Quinzenal",14,IF(Contrato!$C$14="Semanal",7,1)))))</x:f>
      </x:c>
      <x:c r="D324" s="131" t="str">
        <x:f>IF(A324="","",W323)</x:f>
      </x:c>
      <x:c r="E324" s="131" t="str">
        <x:f>IF(A324="","",ROUND(D324*Simulador!$I$18,2))</x:f>
      </x:c>
      <x:c r="F324" s="131" t="str">
        <x:f>IF(A324="","",ROUND(MIN(D324,MAX(G324-E324,0)),2))</x:f>
      </x:c>
      <x:c r="G324" s="131" t="str">
        <x:f>IF(A324="","",IF(A324&lt;Contrato!$C$16,Contrato!$C$27,Contrato!$C$28))</x:f>
      </x:c>
      <x:c r="H324" s="131" t="str">
        <x:f>IF(A324="","",Contrato!$C$29)</x:f>
      </x:c>
      <x:c r="I324" s="131" t="str">
        <x:f>IF(A324="","",Contrato!$C$30)</x:f>
      </x:c>
      <x:c r="J324" s="131" t="str">
        <x:f>IF(A324="","",Contrato!$C$31)</x:f>
      </x:c>
      <x:c r="K324" s="131" t="str">
        <x:f>IF(A324="","",ROUND(SUM(G324:J324),2))</x:f>
      </x:c>
      <x:c r="L324" s="80"/>
      <x:c r="M324" s="77"/>
      <x:c r="N324" s="29" t="str">
        <x:f>IF(A324="","",IF(L324&gt;=K324,"Paga",IF(L324&gt;0,"Paga parcialmente",IF(C324&lt;$A$5,"Vencida","Prevista"))))</x:f>
      </x:c>
      <x:c r="O324" s="29" t="str">
        <x:f>IF(A324="","",$A$5-C324)</x:f>
      </x:c>
      <x:c r="P324" s="131" t="str">
        <x:f>IF(A324="","",IF(AND(O324&gt;0,MAX(K324-L324,0)&gt;0,N324&lt;&gt;"Paga"),ROUND(MAX(K324-L324,0)*'Parâmetros'!$B$34,2),0))</x:f>
      </x:c>
      <x:c r="Q324" s="131" t="str">
        <x:f>IF(A324="","",IF(AND(O324&gt;0,MAX(K324-L324,0)&gt;0,N324&lt;&gt;"Paga"),ROUND(MAX(K324-L324,0)*'Parâmetros'!$B$35*(O324/'Parâmetros'!$B$33),2),0))</x:f>
      </x:c>
      <x:c r="R324" s="131" t="str">
        <x:f>IF(A324="","",IF(O324&gt;0,ROUND(MAX(K324-L324,0)+P324+Q324,2),0))</x:f>
      </x:c>
      <x:c r="S324" s="131" t="str">
        <x:f>IF(A324="","",IF(OR(N324="Paga",O324&gt;0),0,ROUND(IF(K324=0,0,G324*MAX(K324-L324,0)/K324)/(1+'Parâmetros'!$C$13)^((C324-$A$5)/30),2)))</x:f>
      </x:c>
      <x:c r="T324" s="131" t="str">
        <x:f>IF(A324="","",0)</x:f>
      </x:c>
      <x:c r="U324" s="131" t="str">
        <x:f>IF(A324="","",0)</x:f>
      </x:c>
      <x:c r="V324" s="131" t="str">
        <x:f>IF(A324="","",IF(N324="Paga",0,IF(O324&gt;0,R324,S324)))</x:f>
      </x:c>
      <x:c r="W324" s="131" t="str">
        <x:f>IF(A324="","",ROUND(MAX(D324-F324,0),2))</x:f>
      </x:c>
      <x:c r="X324" s="131" t="str">
        <x:f>IF(A324="","",ROUND(SUM($G324:$G$407),2))</x:f>
      </x:c>
      <x:c r="Y324" s="131" t="str">
        <x:f>IF(A324="","",ROUND(MAX(X324-D324,0),2))</x:f>
      </x:c>
      <x:c r="Z324" s="131" t="str">
        <x:f>IF(A324="","",ROUND(SUM($V324:$V$407),2))</x:f>
      </x:c>
      <x:c r="AA324" s="131" t="str">
        <x:f>IF(A324="","",ROUND(SUM($K324:$K$407)-Z324,2))</x:f>
      </x:c>
      <x:c r="AB324" s="77"/>
      <x:c r="AC324" s="36" t="str">
        <x:f>IF(A324="","",IF(O324&gt;0,"Vencido: saldo da fatura + mora",IF(O324&lt;=0,"Vincendo: VP da parcela financeira; comissão/proteção futuras isentas","")))</x:f>
      </x:c>
    </x:row>
    <x:row r="325">
      <x:c r="A325" s="129" t="str">
        <x:f>IF(ROW()-7&lt;=Contrato!$C$16,ROW()-7,"")</x:f>
      </x:c>
      <x:c r="B325" s="129" t="str">
        <x:f>IF(A325="","",Contrato!$C$16)</x:f>
      </x:c>
      <x:c r="C325" s="130" t="str">
        <x:f>IF(A325="","",IF(AB325&lt;&gt;"",AB325,IF(Contrato!$C$14="Mensal",EDATE(Contrato!$C$13,A325-1),Contrato!$C$13+(A325-1)*IF(Contrato!$C$14="Quinzenal",14,IF(Contrato!$C$14="Semanal",7,1)))))</x:f>
      </x:c>
      <x:c r="D325" s="131" t="str">
        <x:f>IF(A325="","",W324)</x:f>
      </x:c>
      <x:c r="E325" s="131" t="str">
        <x:f>IF(A325="","",ROUND(D325*Simulador!$I$18,2))</x:f>
      </x:c>
      <x:c r="F325" s="131" t="str">
        <x:f>IF(A325="","",ROUND(MIN(D325,MAX(G325-E325,0)),2))</x:f>
      </x:c>
      <x:c r="G325" s="131" t="str">
        <x:f>IF(A325="","",IF(A325&lt;Contrato!$C$16,Contrato!$C$27,Contrato!$C$28))</x:f>
      </x:c>
      <x:c r="H325" s="131" t="str">
        <x:f>IF(A325="","",Contrato!$C$29)</x:f>
      </x:c>
      <x:c r="I325" s="131" t="str">
        <x:f>IF(A325="","",Contrato!$C$30)</x:f>
      </x:c>
      <x:c r="J325" s="131" t="str">
        <x:f>IF(A325="","",Contrato!$C$31)</x:f>
      </x:c>
      <x:c r="K325" s="131" t="str">
        <x:f>IF(A325="","",ROUND(SUM(G325:J325),2))</x:f>
      </x:c>
      <x:c r="L325" s="80"/>
      <x:c r="M325" s="77"/>
      <x:c r="N325" s="29" t="str">
        <x:f>IF(A325="","",IF(L325&gt;=K325,"Paga",IF(L325&gt;0,"Paga parcialmente",IF(C325&lt;$A$5,"Vencida","Prevista"))))</x:f>
      </x:c>
      <x:c r="O325" s="29" t="str">
        <x:f>IF(A325="","",$A$5-C325)</x:f>
      </x:c>
      <x:c r="P325" s="131" t="str">
        <x:f>IF(A325="","",IF(AND(O325&gt;0,MAX(K325-L325,0)&gt;0,N325&lt;&gt;"Paga"),ROUND(MAX(K325-L325,0)*'Parâmetros'!$B$34,2),0))</x:f>
      </x:c>
      <x:c r="Q325" s="131" t="str">
        <x:f>IF(A325="","",IF(AND(O325&gt;0,MAX(K325-L325,0)&gt;0,N325&lt;&gt;"Paga"),ROUND(MAX(K325-L325,0)*'Parâmetros'!$B$35*(O325/'Parâmetros'!$B$33),2),0))</x:f>
      </x:c>
      <x:c r="R325" s="131" t="str">
        <x:f>IF(A325="","",IF(O325&gt;0,ROUND(MAX(K325-L325,0)+P325+Q325,2),0))</x:f>
      </x:c>
      <x:c r="S325" s="131" t="str">
        <x:f>IF(A325="","",IF(OR(N325="Paga",O325&gt;0),0,ROUND(IF(K325=0,0,G325*MAX(K325-L325,0)/K325)/(1+'Parâmetros'!$C$13)^((C325-$A$5)/30),2)))</x:f>
      </x:c>
      <x:c r="T325" s="131" t="str">
        <x:f>IF(A325="","",0)</x:f>
      </x:c>
      <x:c r="U325" s="131" t="str">
        <x:f>IF(A325="","",0)</x:f>
      </x:c>
      <x:c r="V325" s="131" t="str">
        <x:f>IF(A325="","",IF(N325="Paga",0,IF(O325&gt;0,R325,S325)))</x:f>
      </x:c>
      <x:c r="W325" s="131" t="str">
        <x:f>IF(A325="","",ROUND(MAX(D325-F325,0),2))</x:f>
      </x:c>
      <x:c r="X325" s="131" t="str">
        <x:f>IF(A325="","",ROUND(SUM($G325:$G$407),2))</x:f>
      </x:c>
      <x:c r="Y325" s="131" t="str">
        <x:f>IF(A325="","",ROUND(MAX(X325-D325,0),2))</x:f>
      </x:c>
      <x:c r="Z325" s="131" t="str">
        <x:f>IF(A325="","",ROUND(SUM($V325:$V$407),2))</x:f>
      </x:c>
      <x:c r="AA325" s="131" t="str">
        <x:f>IF(A325="","",ROUND(SUM($K325:$K$407)-Z325,2))</x:f>
      </x:c>
      <x:c r="AB325" s="77"/>
      <x:c r="AC325" s="36" t="str">
        <x:f>IF(A325="","",IF(O325&gt;0,"Vencido: saldo da fatura + mora",IF(O325&lt;=0,"Vincendo: VP da parcela financeira; comissão/proteção futuras isentas","")))</x:f>
      </x:c>
    </x:row>
    <x:row r="326">
      <x:c r="A326" s="129" t="str">
        <x:f>IF(ROW()-7&lt;=Contrato!$C$16,ROW()-7,"")</x:f>
      </x:c>
      <x:c r="B326" s="129" t="str">
        <x:f>IF(A326="","",Contrato!$C$16)</x:f>
      </x:c>
      <x:c r="C326" s="130" t="str">
        <x:f>IF(A326="","",IF(AB326&lt;&gt;"",AB326,IF(Contrato!$C$14="Mensal",EDATE(Contrato!$C$13,A326-1),Contrato!$C$13+(A326-1)*IF(Contrato!$C$14="Quinzenal",14,IF(Contrato!$C$14="Semanal",7,1)))))</x:f>
      </x:c>
      <x:c r="D326" s="131" t="str">
        <x:f>IF(A326="","",W325)</x:f>
      </x:c>
      <x:c r="E326" s="131" t="str">
        <x:f>IF(A326="","",ROUND(D326*Simulador!$I$18,2))</x:f>
      </x:c>
      <x:c r="F326" s="131" t="str">
        <x:f>IF(A326="","",ROUND(MIN(D326,MAX(G326-E326,0)),2))</x:f>
      </x:c>
      <x:c r="G326" s="131" t="str">
        <x:f>IF(A326="","",IF(A326&lt;Contrato!$C$16,Contrato!$C$27,Contrato!$C$28))</x:f>
      </x:c>
      <x:c r="H326" s="131" t="str">
        <x:f>IF(A326="","",Contrato!$C$29)</x:f>
      </x:c>
      <x:c r="I326" s="131" t="str">
        <x:f>IF(A326="","",Contrato!$C$30)</x:f>
      </x:c>
      <x:c r="J326" s="131" t="str">
        <x:f>IF(A326="","",Contrato!$C$31)</x:f>
      </x:c>
      <x:c r="K326" s="131" t="str">
        <x:f>IF(A326="","",ROUND(SUM(G326:J326),2))</x:f>
      </x:c>
      <x:c r="L326" s="80"/>
      <x:c r="M326" s="77"/>
      <x:c r="N326" s="29" t="str">
        <x:f>IF(A326="","",IF(L326&gt;=K326,"Paga",IF(L326&gt;0,"Paga parcialmente",IF(C326&lt;$A$5,"Vencida","Prevista"))))</x:f>
      </x:c>
      <x:c r="O326" s="29" t="str">
        <x:f>IF(A326="","",$A$5-C326)</x:f>
      </x:c>
      <x:c r="P326" s="131" t="str">
        <x:f>IF(A326="","",IF(AND(O326&gt;0,MAX(K326-L326,0)&gt;0,N326&lt;&gt;"Paga"),ROUND(MAX(K326-L326,0)*'Parâmetros'!$B$34,2),0))</x:f>
      </x:c>
      <x:c r="Q326" s="131" t="str">
        <x:f>IF(A326="","",IF(AND(O326&gt;0,MAX(K326-L326,0)&gt;0,N326&lt;&gt;"Paga"),ROUND(MAX(K326-L326,0)*'Parâmetros'!$B$35*(O326/'Parâmetros'!$B$33),2),0))</x:f>
      </x:c>
      <x:c r="R326" s="131" t="str">
        <x:f>IF(A326="","",IF(O326&gt;0,ROUND(MAX(K326-L326,0)+P326+Q326,2),0))</x:f>
      </x:c>
      <x:c r="S326" s="131" t="str">
        <x:f>IF(A326="","",IF(OR(N326="Paga",O326&gt;0),0,ROUND(IF(K326=0,0,G326*MAX(K326-L326,0)/K326)/(1+'Parâmetros'!$C$13)^((C326-$A$5)/30),2)))</x:f>
      </x:c>
      <x:c r="T326" s="131" t="str">
        <x:f>IF(A326="","",0)</x:f>
      </x:c>
      <x:c r="U326" s="131" t="str">
        <x:f>IF(A326="","",0)</x:f>
      </x:c>
      <x:c r="V326" s="131" t="str">
        <x:f>IF(A326="","",IF(N326="Paga",0,IF(O326&gt;0,R326,S326)))</x:f>
      </x:c>
      <x:c r="W326" s="131" t="str">
        <x:f>IF(A326="","",ROUND(MAX(D326-F326,0),2))</x:f>
      </x:c>
      <x:c r="X326" s="131" t="str">
        <x:f>IF(A326="","",ROUND(SUM($G326:$G$407),2))</x:f>
      </x:c>
      <x:c r="Y326" s="131" t="str">
        <x:f>IF(A326="","",ROUND(MAX(X326-D326,0),2))</x:f>
      </x:c>
      <x:c r="Z326" s="131" t="str">
        <x:f>IF(A326="","",ROUND(SUM($V326:$V$407),2))</x:f>
      </x:c>
      <x:c r="AA326" s="131" t="str">
        <x:f>IF(A326="","",ROUND(SUM($K326:$K$407)-Z326,2))</x:f>
      </x:c>
      <x:c r="AB326" s="77"/>
      <x:c r="AC326" s="36" t="str">
        <x:f>IF(A326="","",IF(O326&gt;0,"Vencido: saldo da fatura + mora",IF(O326&lt;=0,"Vincendo: VP da parcela financeira; comissão/proteção futuras isentas","")))</x:f>
      </x:c>
    </x:row>
    <x:row r="327">
      <x:c r="A327" s="129" t="str">
        <x:f>IF(ROW()-7&lt;=Contrato!$C$16,ROW()-7,"")</x:f>
      </x:c>
      <x:c r="B327" s="129" t="str">
        <x:f>IF(A327="","",Contrato!$C$16)</x:f>
      </x:c>
      <x:c r="C327" s="130" t="str">
        <x:f>IF(A327="","",IF(AB327&lt;&gt;"",AB327,IF(Contrato!$C$14="Mensal",EDATE(Contrato!$C$13,A327-1),Contrato!$C$13+(A327-1)*IF(Contrato!$C$14="Quinzenal",14,IF(Contrato!$C$14="Semanal",7,1)))))</x:f>
      </x:c>
      <x:c r="D327" s="131" t="str">
        <x:f>IF(A327="","",W326)</x:f>
      </x:c>
      <x:c r="E327" s="131" t="str">
        <x:f>IF(A327="","",ROUND(D327*Simulador!$I$18,2))</x:f>
      </x:c>
      <x:c r="F327" s="131" t="str">
        <x:f>IF(A327="","",ROUND(MIN(D327,MAX(G327-E327,0)),2))</x:f>
      </x:c>
      <x:c r="G327" s="131" t="str">
        <x:f>IF(A327="","",IF(A327&lt;Contrato!$C$16,Contrato!$C$27,Contrato!$C$28))</x:f>
      </x:c>
      <x:c r="H327" s="131" t="str">
        <x:f>IF(A327="","",Contrato!$C$29)</x:f>
      </x:c>
      <x:c r="I327" s="131" t="str">
        <x:f>IF(A327="","",Contrato!$C$30)</x:f>
      </x:c>
      <x:c r="J327" s="131" t="str">
        <x:f>IF(A327="","",Contrato!$C$31)</x:f>
      </x:c>
      <x:c r="K327" s="131" t="str">
        <x:f>IF(A327="","",ROUND(SUM(G327:J327),2))</x:f>
      </x:c>
      <x:c r="L327" s="80"/>
      <x:c r="M327" s="77"/>
      <x:c r="N327" s="29" t="str">
        <x:f>IF(A327="","",IF(L327&gt;=K327,"Paga",IF(L327&gt;0,"Paga parcialmente",IF(C327&lt;$A$5,"Vencida","Prevista"))))</x:f>
      </x:c>
      <x:c r="O327" s="29" t="str">
        <x:f>IF(A327="","",$A$5-C327)</x:f>
      </x:c>
      <x:c r="P327" s="131" t="str">
        <x:f>IF(A327="","",IF(AND(O327&gt;0,MAX(K327-L327,0)&gt;0,N327&lt;&gt;"Paga"),ROUND(MAX(K327-L327,0)*'Parâmetros'!$B$34,2),0))</x:f>
      </x:c>
      <x:c r="Q327" s="131" t="str">
        <x:f>IF(A327="","",IF(AND(O327&gt;0,MAX(K327-L327,0)&gt;0,N327&lt;&gt;"Paga"),ROUND(MAX(K327-L327,0)*'Parâmetros'!$B$35*(O327/'Parâmetros'!$B$33),2),0))</x:f>
      </x:c>
      <x:c r="R327" s="131" t="str">
        <x:f>IF(A327="","",IF(O327&gt;0,ROUND(MAX(K327-L327,0)+P327+Q327,2),0))</x:f>
      </x:c>
      <x:c r="S327" s="131" t="str">
        <x:f>IF(A327="","",IF(OR(N327="Paga",O327&gt;0),0,ROUND(IF(K327=0,0,G327*MAX(K327-L327,0)/K327)/(1+'Parâmetros'!$C$13)^((C327-$A$5)/30),2)))</x:f>
      </x:c>
      <x:c r="T327" s="131" t="str">
        <x:f>IF(A327="","",0)</x:f>
      </x:c>
      <x:c r="U327" s="131" t="str">
        <x:f>IF(A327="","",0)</x:f>
      </x:c>
      <x:c r="V327" s="131" t="str">
        <x:f>IF(A327="","",IF(N327="Paga",0,IF(O327&gt;0,R327,S327)))</x:f>
      </x:c>
      <x:c r="W327" s="131" t="str">
        <x:f>IF(A327="","",ROUND(MAX(D327-F327,0),2))</x:f>
      </x:c>
      <x:c r="X327" s="131" t="str">
        <x:f>IF(A327="","",ROUND(SUM($G327:$G$407),2))</x:f>
      </x:c>
      <x:c r="Y327" s="131" t="str">
        <x:f>IF(A327="","",ROUND(MAX(X327-D327,0),2))</x:f>
      </x:c>
      <x:c r="Z327" s="131" t="str">
        <x:f>IF(A327="","",ROUND(SUM($V327:$V$407),2))</x:f>
      </x:c>
      <x:c r="AA327" s="131" t="str">
        <x:f>IF(A327="","",ROUND(SUM($K327:$K$407)-Z327,2))</x:f>
      </x:c>
      <x:c r="AB327" s="77"/>
      <x:c r="AC327" s="36" t="str">
        <x:f>IF(A327="","",IF(O327&gt;0,"Vencido: saldo da fatura + mora",IF(O327&lt;=0,"Vincendo: VP da parcela financeira; comissão/proteção futuras isentas","")))</x:f>
      </x:c>
    </x:row>
    <x:row r="328">
      <x:c r="A328" s="129" t="str">
        <x:f>IF(ROW()-7&lt;=Contrato!$C$16,ROW()-7,"")</x:f>
      </x:c>
      <x:c r="B328" s="129" t="str">
        <x:f>IF(A328="","",Contrato!$C$16)</x:f>
      </x:c>
      <x:c r="C328" s="130" t="str">
        <x:f>IF(A328="","",IF(AB328&lt;&gt;"",AB328,IF(Contrato!$C$14="Mensal",EDATE(Contrato!$C$13,A328-1),Contrato!$C$13+(A328-1)*IF(Contrato!$C$14="Quinzenal",14,IF(Contrato!$C$14="Semanal",7,1)))))</x:f>
      </x:c>
      <x:c r="D328" s="131" t="str">
        <x:f>IF(A328="","",W327)</x:f>
      </x:c>
      <x:c r="E328" s="131" t="str">
        <x:f>IF(A328="","",ROUND(D328*Simulador!$I$18,2))</x:f>
      </x:c>
      <x:c r="F328" s="131" t="str">
        <x:f>IF(A328="","",ROUND(MIN(D328,MAX(G328-E328,0)),2))</x:f>
      </x:c>
      <x:c r="G328" s="131" t="str">
        <x:f>IF(A328="","",IF(A328&lt;Contrato!$C$16,Contrato!$C$27,Contrato!$C$28))</x:f>
      </x:c>
      <x:c r="H328" s="131" t="str">
        <x:f>IF(A328="","",Contrato!$C$29)</x:f>
      </x:c>
      <x:c r="I328" s="131" t="str">
        <x:f>IF(A328="","",Contrato!$C$30)</x:f>
      </x:c>
      <x:c r="J328" s="131" t="str">
        <x:f>IF(A328="","",Contrato!$C$31)</x:f>
      </x:c>
      <x:c r="K328" s="131" t="str">
        <x:f>IF(A328="","",ROUND(SUM(G328:J328),2))</x:f>
      </x:c>
      <x:c r="L328" s="80"/>
      <x:c r="M328" s="77"/>
      <x:c r="N328" s="29" t="str">
        <x:f>IF(A328="","",IF(L328&gt;=K328,"Paga",IF(L328&gt;0,"Paga parcialmente",IF(C328&lt;$A$5,"Vencida","Prevista"))))</x:f>
      </x:c>
      <x:c r="O328" s="29" t="str">
        <x:f>IF(A328="","",$A$5-C328)</x:f>
      </x:c>
      <x:c r="P328" s="131" t="str">
        <x:f>IF(A328="","",IF(AND(O328&gt;0,MAX(K328-L328,0)&gt;0,N328&lt;&gt;"Paga"),ROUND(MAX(K328-L328,0)*'Parâmetros'!$B$34,2),0))</x:f>
      </x:c>
      <x:c r="Q328" s="131" t="str">
        <x:f>IF(A328="","",IF(AND(O328&gt;0,MAX(K328-L328,0)&gt;0,N328&lt;&gt;"Paga"),ROUND(MAX(K328-L328,0)*'Parâmetros'!$B$35*(O328/'Parâmetros'!$B$33),2),0))</x:f>
      </x:c>
      <x:c r="R328" s="131" t="str">
        <x:f>IF(A328="","",IF(O328&gt;0,ROUND(MAX(K328-L328,0)+P328+Q328,2),0))</x:f>
      </x:c>
      <x:c r="S328" s="131" t="str">
        <x:f>IF(A328="","",IF(OR(N328="Paga",O328&gt;0),0,ROUND(IF(K328=0,0,G328*MAX(K328-L328,0)/K328)/(1+'Parâmetros'!$C$13)^((C328-$A$5)/30),2)))</x:f>
      </x:c>
      <x:c r="T328" s="131" t="str">
        <x:f>IF(A328="","",0)</x:f>
      </x:c>
      <x:c r="U328" s="131" t="str">
        <x:f>IF(A328="","",0)</x:f>
      </x:c>
      <x:c r="V328" s="131" t="str">
        <x:f>IF(A328="","",IF(N328="Paga",0,IF(O328&gt;0,R328,S328)))</x:f>
      </x:c>
      <x:c r="W328" s="131" t="str">
        <x:f>IF(A328="","",ROUND(MAX(D328-F328,0),2))</x:f>
      </x:c>
      <x:c r="X328" s="131" t="str">
        <x:f>IF(A328="","",ROUND(SUM($G328:$G$407),2))</x:f>
      </x:c>
      <x:c r="Y328" s="131" t="str">
        <x:f>IF(A328="","",ROUND(MAX(X328-D328,0),2))</x:f>
      </x:c>
      <x:c r="Z328" s="131" t="str">
        <x:f>IF(A328="","",ROUND(SUM($V328:$V$407),2))</x:f>
      </x:c>
      <x:c r="AA328" s="131" t="str">
        <x:f>IF(A328="","",ROUND(SUM($K328:$K$407)-Z328,2))</x:f>
      </x:c>
      <x:c r="AB328" s="77"/>
      <x:c r="AC328" s="36" t="str">
        <x:f>IF(A328="","",IF(O328&gt;0,"Vencido: saldo da fatura + mora",IF(O328&lt;=0,"Vincendo: VP da parcela financeira; comissão/proteção futuras isentas","")))</x:f>
      </x:c>
    </x:row>
    <x:row r="329">
      <x:c r="A329" s="129" t="str">
        <x:f>IF(ROW()-7&lt;=Contrato!$C$16,ROW()-7,"")</x:f>
      </x:c>
      <x:c r="B329" s="129" t="str">
        <x:f>IF(A329="","",Contrato!$C$16)</x:f>
      </x:c>
      <x:c r="C329" s="130" t="str">
        <x:f>IF(A329="","",IF(AB329&lt;&gt;"",AB329,IF(Contrato!$C$14="Mensal",EDATE(Contrato!$C$13,A329-1),Contrato!$C$13+(A329-1)*IF(Contrato!$C$14="Quinzenal",14,IF(Contrato!$C$14="Semanal",7,1)))))</x:f>
      </x:c>
      <x:c r="D329" s="131" t="str">
        <x:f>IF(A329="","",W328)</x:f>
      </x:c>
      <x:c r="E329" s="131" t="str">
        <x:f>IF(A329="","",ROUND(D329*Simulador!$I$18,2))</x:f>
      </x:c>
      <x:c r="F329" s="131" t="str">
        <x:f>IF(A329="","",ROUND(MIN(D329,MAX(G329-E329,0)),2))</x:f>
      </x:c>
      <x:c r="G329" s="131" t="str">
        <x:f>IF(A329="","",IF(A329&lt;Contrato!$C$16,Contrato!$C$27,Contrato!$C$28))</x:f>
      </x:c>
      <x:c r="H329" s="131" t="str">
        <x:f>IF(A329="","",Contrato!$C$29)</x:f>
      </x:c>
      <x:c r="I329" s="131" t="str">
        <x:f>IF(A329="","",Contrato!$C$30)</x:f>
      </x:c>
      <x:c r="J329" s="131" t="str">
        <x:f>IF(A329="","",Contrato!$C$31)</x:f>
      </x:c>
      <x:c r="K329" s="131" t="str">
        <x:f>IF(A329="","",ROUND(SUM(G329:J329),2))</x:f>
      </x:c>
      <x:c r="L329" s="80"/>
      <x:c r="M329" s="77"/>
      <x:c r="N329" s="29" t="str">
        <x:f>IF(A329="","",IF(L329&gt;=K329,"Paga",IF(L329&gt;0,"Paga parcialmente",IF(C329&lt;$A$5,"Vencida","Prevista"))))</x:f>
      </x:c>
      <x:c r="O329" s="29" t="str">
        <x:f>IF(A329="","",$A$5-C329)</x:f>
      </x:c>
      <x:c r="P329" s="131" t="str">
        <x:f>IF(A329="","",IF(AND(O329&gt;0,MAX(K329-L329,0)&gt;0,N329&lt;&gt;"Paga"),ROUND(MAX(K329-L329,0)*'Parâmetros'!$B$34,2),0))</x:f>
      </x:c>
      <x:c r="Q329" s="131" t="str">
        <x:f>IF(A329="","",IF(AND(O329&gt;0,MAX(K329-L329,0)&gt;0,N329&lt;&gt;"Paga"),ROUND(MAX(K329-L329,0)*'Parâmetros'!$B$35*(O329/'Parâmetros'!$B$33),2),0))</x:f>
      </x:c>
      <x:c r="R329" s="131" t="str">
        <x:f>IF(A329="","",IF(O329&gt;0,ROUND(MAX(K329-L329,0)+P329+Q329,2),0))</x:f>
      </x:c>
      <x:c r="S329" s="131" t="str">
        <x:f>IF(A329="","",IF(OR(N329="Paga",O329&gt;0),0,ROUND(IF(K329=0,0,G329*MAX(K329-L329,0)/K329)/(1+'Parâmetros'!$C$13)^((C329-$A$5)/30),2)))</x:f>
      </x:c>
      <x:c r="T329" s="131" t="str">
        <x:f>IF(A329="","",0)</x:f>
      </x:c>
      <x:c r="U329" s="131" t="str">
        <x:f>IF(A329="","",0)</x:f>
      </x:c>
      <x:c r="V329" s="131" t="str">
        <x:f>IF(A329="","",IF(N329="Paga",0,IF(O329&gt;0,R329,S329)))</x:f>
      </x:c>
      <x:c r="W329" s="131" t="str">
        <x:f>IF(A329="","",ROUND(MAX(D329-F329,0),2))</x:f>
      </x:c>
      <x:c r="X329" s="131" t="str">
        <x:f>IF(A329="","",ROUND(SUM($G329:$G$407),2))</x:f>
      </x:c>
      <x:c r="Y329" s="131" t="str">
        <x:f>IF(A329="","",ROUND(MAX(X329-D329,0),2))</x:f>
      </x:c>
      <x:c r="Z329" s="131" t="str">
        <x:f>IF(A329="","",ROUND(SUM($V329:$V$407),2))</x:f>
      </x:c>
      <x:c r="AA329" s="131" t="str">
        <x:f>IF(A329="","",ROUND(SUM($K329:$K$407)-Z329,2))</x:f>
      </x:c>
      <x:c r="AB329" s="77"/>
      <x:c r="AC329" s="36" t="str">
        <x:f>IF(A329="","",IF(O329&gt;0,"Vencido: saldo da fatura + mora",IF(O329&lt;=0,"Vincendo: VP da parcela financeira; comissão/proteção futuras isentas","")))</x:f>
      </x:c>
    </x:row>
    <x:row r="330">
      <x:c r="A330" s="129" t="str">
        <x:f>IF(ROW()-7&lt;=Contrato!$C$16,ROW()-7,"")</x:f>
      </x:c>
      <x:c r="B330" s="129" t="str">
        <x:f>IF(A330="","",Contrato!$C$16)</x:f>
      </x:c>
      <x:c r="C330" s="130" t="str">
        <x:f>IF(A330="","",IF(AB330&lt;&gt;"",AB330,IF(Contrato!$C$14="Mensal",EDATE(Contrato!$C$13,A330-1),Contrato!$C$13+(A330-1)*IF(Contrato!$C$14="Quinzenal",14,IF(Contrato!$C$14="Semanal",7,1)))))</x:f>
      </x:c>
      <x:c r="D330" s="131" t="str">
        <x:f>IF(A330="","",W329)</x:f>
      </x:c>
      <x:c r="E330" s="131" t="str">
        <x:f>IF(A330="","",ROUND(D330*Simulador!$I$18,2))</x:f>
      </x:c>
      <x:c r="F330" s="131" t="str">
        <x:f>IF(A330="","",ROUND(MIN(D330,MAX(G330-E330,0)),2))</x:f>
      </x:c>
      <x:c r="G330" s="131" t="str">
        <x:f>IF(A330="","",IF(A330&lt;Contrato!$C$16,Contrato!$C$27,Contrato!$C$28))</x:f>
      </x:c>
      <x:c r="H330" s="131" t="str">
        <x:f>IF(A330="","",Contrato!$C$29)</x:f>
      </x:c>
      <x:c r="I330" s="131" t="str">
        <x:f>IF(A330="","",Contrato!$C$30)</x:f>
      </x:c>
      <x:c r="J330" s="131" t="str">
        <x:f>IF(A330="","",Contrato!$C$31)</x:f>
      </x:c>
      <x:c r="K330" s="131" t="str">
        <x:f>IF(A330="","",ROUND(SUM(G330:J330),2))</x:f>
      </x:c>
      <x:c r="L330" s="80"/>
      <x:c r="M330" s="77"/>
      <x:c r="N330" s="29" t="str">
        <x:f>IF(A330="","",IF(L330&gt;=K330,"Paga",IF(L330&gt;0,"Paga parcialmente",IF(C330&lt;$A$5,"Vencida","Prevista"))))</x:f>
      </x:c>
      <x:c r="O330" s="29" t="str">
        <x:f>IF(A330="","",$A$5-C330)</x:f>
      </x:c>
      <x:c r="P330" s="131" t="str">
        <x:f>IF(A330="","",IF(AND(O330&gt;0,MAX(K330-L330,0)&gt;0,N330&lt;&gt;"Paga"),ROUND(MAX(K330-L330,0)*'Parâmetros'!$B$34,2),0))</x:f>
      </x:c>
      <x:c r="Q330" s="131" t="str">
        <x:f>IF(A330="","",IF(AND(O330&gt;0,MAX(K330-L330,0)&gt;0,N330&lt;&gt;"Paga"),ROUND(MAX(K330-L330,0)*'Parâmetros'!$B$35*(O330/'Parâmetros'!$B$33),2),0))</x:f>
      </x:c>
      <x:c r="R330" s="131" t="str">
        <x:f>IF(A330="","",IF(O330&gt;0,ROUND(MAX(K330-L330,0)+P330+Q330,2),0))</x:f>
      </x:c>
      <x:c r="S330" s="131" t="str">
        <x:f>IF(A330="","",IF(OR(N330="Paga",O330&gt;0),0,ROUND(IF(K330=0,0,G330*MAX(K330-L330,0)/K330)/(1+'Parâmetros'!$C$13)^((C330-$A$5)/30),2)))</x:f>
      </x:c>
      <x:c r="T330" s="131" t="str">
        <x:f>IF(A330="","",0)</x:f>
      </x:c>
      <x:c r="U330" s="131" t="str">
        <x:f>IF(A330="","",0)</x:f>
      </x:c>
      <x:c r="V330" s="131" t="str">
        <x:f>IF(A330="","",IF(N330="Paga",0,IF(O330&gt;0,R330,S330)))</x:f>
      </x:c>
      <x:c r="W330" s="131" t="str">
        <x:f>IF(A330="","",ROUND(MAX(D330-F330,0),2))</x:f>
      </x:c>
      <x:c r="X330" s="131" t="str">
        <x:f>IF(A330="","",ROUND(SUM($G330:$G$407),2))</x:f>
      </x:c>
      <x:c r="Y330" s="131" t="str">
        <x:f>IF(A330="","",ROUND(MAX(X330-D330,0),2))</x:f>
      </x:c>
      <x:c r="Z330" s="131" t="str">
        <x:f>IF(A330="","",ROUND(SUM($V330:$V$407),2))</x:f>
      </x:c>
      <x:c r="AA330" s="131" t="str">
        <x:f>IF(A330="","",ROUND(SUM($K330:$K$407)-Z330,2))</x:f>
      </x:c>
      <x:c r="AB330" s="77"/>
      <x:c r="AC330" s="36" t="str">
        <x:f>IF(A330="","",IF(O330&gt;0,"Vencido: saldo da fatura + mora",IF(O330&lt;=0,"Vincendo: VP da parcela financeira; comissão/proteção futuras isentas","")))</x:f>
      </x:c>
    </x:row>
    <x:row r="331">
      <x:c r="A331" s="129" t="str">
        <x:f>IF(ROW()-7&lt;=Contrato!$C$16,ROW()-7,"")</x:f>
      </x:c>
      <x:c r="B331" s="129" t="str">
        <x:f>IF(A331="","",Contrato!$C$16)</x:f>
      </x:c>
      <x:c r="C331" s="130" t="str">
        <x:f>IF(A331="","",IF(AB331&lt;&gt;"",AB331,IF(Contrato!$C$14="Mensal",EDATE(Contrato!$C$13,A331-1),Contrato!$C$13+(A331-1)*IF(Contrato!$C$14="Quinzenal",14,IF(Contrato!$C$14="Semanal",7,1)))))</x:f>
      </x:c>
      <x:c r="D331" s="131" t="str">
        <x:f>IF(A331="","",W330)</x:f>
      </x:c>
      <x:c r="E331" s="131" t="str">
        <x:f>IF(A331="","",ROUND(D331*Simulador!$I$18,2))</x:f>
      </x:c>
      <x:c r="F331" s="131" t="str">
        <x:f>IF(A331="","",ROUND(MIN(D331,MAX(G331-E331,0)),2))</x:f>
      </x:c>
      <x:c r="G331" s="131" t="str">
        <x:f>IF(A331="","",IF(A331&lt;Contrato!$C$16,Contrato!$C$27,Contrato!$C$28))</x:f>
      </x:c>
      <x:c r="H331" s="131" t="str">
        <x:f>IF(A331="","",Contrato!$C$29)</x:f>
      </x:c>
      <x:c r="I331" s="131" t="str">
        <x:f>IF(A331="","",Contrato!$C$30)</x:f>
      </x:c>
      <x:c r="J331" s="131" t="str">
        <x:f>IF(A331="","",Contrato!$C$31)</x:f>
      </x:c>
      <x:c r="K331" s="131" t="str">
        <x:f>IF(A331="","",ROUND(SUM(G331:J331),2))</x:f>
      </x:c>
      <x:c r="L331" s="80"/>
      <x:c r="M331" s="77"/>
      <x:c r="N331" s="29" t="str">
        <x:f>IF(A331="","",IF(L331&gt;=K331,"Paga",IF(L331&gt;0,"Paga parcialmente",IF(C331&lt;$A$5,"Vencida","Prevista"))))</x:f>
      </x:c>
      <x:c r="O331" s="29" t="str">
        <x:f>IF(A331="","",$A$5-C331)</x:f>
      </x:c>
      <x:c r="P331" s="131" t="str">
        <x:f>IF(A331="","",IF(AND(O331&gt;0,MAX(K331-L331,0)&gt;0,N331&lt;&gt;"Paga"),ROUND(MAX(K331-L331,0)*'Parâmetros'!$B$34,2),0))</x:f>
      </x:c>
      <x:c r="Q331" s="131" t="str">
        <x:f>IF(A331="","",IF(AND(O331&gt;0,MAX(K331-L331,0)&gt;0,N331&lt;&gt;"Paga"),ROUND(MAX(K331-L331,0)*'Parâmetros'!$B$35*(O331/'Parâmetros'!$B$33),2),0))</x:f>
      </x:c>
      <x:c r="R331" s="131" t="str">
        <x:f>IF(A331="","",IF(O331&gt;0,ROUND(MAX(K331-L331,0)+P331+Q331,2),0))</x:f>
      </x:c>
      <x:c r="S331" s="131" t="str">
        <x:f>IF(A331="","",IF(OR(N331="Paga",O331&gt;0),0,ROUND(IF(K331=0,0,G331*MAX(K331-L331,0)/K331)/(1+'Parâmetros'!$C$13)^((C331-$A$5)/30),2)))</x:f>
      </x:c>
      <x:c r="T331" s="131" t="str">
        <x:f>IF(A331="","",0)</x:f>
      </x:c>
      <x:c r="U331" s="131" t="str">
        <x:f>IF(A331="","",0)</x:f>
      </x:c>
      <x:c r="V331" s="131" t="str">
        <x:f>IF(A331="","",IF(N331="Paga",0,IF(O331&gt;0,R331,S331)))</x:f>
      </x:c>
      <x:c r="W331" s="131" t="str">
        <x:f>IF(A331="","",ROUND(MAX(D331-F331,0),2))</x:f>
      </x:c>
      <x:c r="X331" s="131" t="str">
        <x:f>IF(A331="","",ROUND(SUM($G331:$G$407),2))</x:f>
      </x:c>
      <x:c r="Y331" s="131" t="str">
        <x:f>IF(A331="","",ROUND(MAX(X331-D331,0),2))</x:f>
      </x:c>
      <x:c r="Z331" s="131" t="str">
        <x:f>IF(A331="","",ROUND(SUM($V331:$V$407),2))</x:f>
      </x:c>
      <x:c r="AA331" s="131" t="str">
        <x:f>IF(A331="","",ROUND(SUM($K331:$K$407)-Z331,2))</x:f>
      </x:c>
      <x:c r="AB331" s="77"/>
      <x:c r="AC331" s="36" t="str">
        <x:f>IF(A331="","",IF(O331&gt;0,"Vencido: saldo da fatura + mora",IF(O331&lt;=0,"Vincendo: VP da parcela financeira; comissão/proteção futuras isentas","")))</x:f>
      </x:c>
    </x:row>
    <x:row r="332">
      <x:c r="A332" s="129" t="str">
        <x:f>IF(ROW()-7&lt;=Contrato!$C$16,ROW()-7,"")</x:f>
      </x:c>
      <x:c r="B332" s="129" t="str">
        <x:f>IF(A332="","",Contrato!$C$16)</x:f>
      </x:c>
      <x:c r="C332" s="130" t="str">
        <x:f>IF(A332="","",IF(AB332&lt;&gt;"",AB332,IF(Contrato!$C$14="Mensal",EDATE(Contrato!$C$13,A332-1),Contrato!$C$13+(A332-1)*IF(Contrato!$C$14="Quinzenal",14,IF(Contrato!$C$14="Semanal",7,1)))))</x:f>
      </x:c>
      <x:c r="D332" s="131" t="str">
        <x:f>IF(A332="","",W331)</x:f>
      </x:c>
      <x:c r="E332" s="131" t="str">
        <x:f>IF(A332="","",ROUND(D332*Simulador!$I$18,2))</x:f>
      </x:c>
      <x:c r="F332" s="131" t="str">
        <x:f>IF(A332="","",ROUND(MIN(D332,MAX(G332-E332,0)),2))</x:f>
      </x:c>
      <x:c r="G332" s="131" t="str">
        <x:f>IF(A332="","",IF(A332&lt;Contrato!$C$16,Contrato!$C$27,Contrato!$C$28))</x:f>
      </x:c>
      <x:c r="H332" s="131" t="str">
        <x:f>IF(A332="","",Contrato!$C$29)</x:f>
      </x:c>
      <x:c r="I332" s="131" t="str">
        <x:f>IF(A332="","",Contrato!$C$30)</x:f>
      </x:c>
      <x:c r="J332" s="131" t="str">
        <x:f>IF(A332="","",Contrato!$C$31)</x:f>
      </x:c>
      <x:c r="K332" s="131" t="str">
        <x:f>IF(A332="","",ROUND(SUM(G332:J332),2))</x:f>
      </x:c>
      <x:c r="L332" s="80"/>
      <x:c r="M332" s="77"/>
      <x:c r="N332" s="29" t="str">
        <x:f>IF(A332="","",IF(L332&gt;=K332,"Paga",IF(L332&gt;0,"Paga parcialmente",IF(C332&lt;$A$5,"Vencida","Prevista"))))</x:f>
      </x:c>
      <x:c r="O332" s="29" t="str">
        <x:f>IF(A332="","",$A$5-C332)</x:f>
      </x:c>
      <x:c r="P332" s="131" t="str">
        <x:f>IF(A332="","",IF(AND(O332&gt;0,MAX(K332-L332,0)&gt;0,N332&lt;&gt;"Paga"),ROUND(MAX(K332-L332,0)*'Parâmetros'!$B$34,2),0))</x:f>
      </x:c>
      <x:c r="Q332" s="131" t="str">
        <x:f>IF(A332="","",IF(AND(O332&gt;0,MAX(K332-L332,0)&gt;0,N332&lt;&gt;"Paga"),ROUND(MAX(K332-L332,0)*'Parâmetros'!$B$35*(O332/'Parâmetros'!$B$33),2),0))</x:f>
      </x:c>
      <x:c r="R332" s="131" t="str">
        <x:f>IF(A332="","",IF(O332&gt;0,ROUND(MAX(K332-L332,0)+P332+Q332,2),0))</x:f>
      </x:c>
      <x:c r="S332" s="131" t="str">
        <x:f>IF(A332="","",IF(OR(N332="Paga",O332&gt;0),0,ROUND(IF(K332=0,0,G332*MAX(K332-L332,0)/K332)/(1+'Parâmetros'!$C$13)^((C332-$A$5)/30),2)))</x:f>
      </x:c>
      <x:c r="T332" s="131" t="str">
        <x:f>IF(A332="","",0)</x:f>
      </x:c>
      <x:c r="U332" s="131" t="str">
        <x:f>IF(A332="","",0)</x:f>
      </x:c>
      <x:c r="V332" s="131" t="str">
        <x:f>IF(A332="","",IF(N332="Paga",0,IF(O332&gt;0,R332,S332)))</x:f>
      </x:c>
      <x:c r="W332" s="131" t="str">
        <x:f>IF(A332="","",ROUND(MAX(D332-F332,0),2))</x:f>
      </x:c>
      <x:c r="X332" s="131" t="str">
        <x:f>IF(A332="","",ROUND(SUM($G332:$G$407),2))</x:f>
      </x:c>
      <x:c r="Y332" s="131" t="str">
        <x:f>IF(A332="","",ROUND(MAX(X332-D332,0),2))</x:f>
      </x:c>
      <x:c r="Z332" s="131" t="str">
        <x:f>IF(A332="","",ROUND(SUM($V332:$V$407),2))</x:f>
      </x:c>
      <x:c r="AA332" s="131" t="str">
        <x:f>IF(A332="","",ROUND(SUM($K332:$K$407)-Z332,2))</x:f>
      </x:c>
      <x:c r="AB332" s="77"/>
      <x:c r="AC332" s="36" t="str">
        <x:f>IF(A332="","",IF(O332&gt;0,"Vencido: saldo da fatura + mora",IF(O332&lt;=0,"Vincendo: VP da parcela financeira; comissão/proteção futuras isentas","")))</x:f>
      </x:c>
    </x:row>
    <x:row r="333">
      <x:c r="A333" s="129" t="str">
        <x:f>IF(ROW()-7&lt;=Contrato!$C$16,ROW()-7,"")</x:f>
      </x:c>
      <x:c r="B333" s="129" t="str">
        <x:f>IF(A333="","",Contrato!$C$16)</x:f>
      </x:c>
      <x:c r="C333" s="130" t="str">
        <x:f>IF(A333="","",IF(AB333&lt;&gt;"",AB333,IF(Contrato!$C$14="Mensal",EDATE(Contrato!$C$13,A333-1),Contrato!$C$13+(A333-1)*IF(Contrato!$C$14="Quinzenal",14,IF(Contrato!$C$14="Semanal",7,1)))))</x:f>
      </x:c>
      <x:c r="D333" s="131" t="str">
        <x:f>IF(A333="","",W332)</x:f>
      </x:c>
      <x:c r="E333" s="131" t="str">
        <x:f>IF(A333="","",ROUND(D333*Simulador!$I$18,2))</x:f>
      </x:c>
      <x:c r="F333" s="131" t="str">
        <x:f>IF(A333="","",ROUND(MIN(D333,MAX(G333-E333,0)),2))</x:f>
      </x:c>
      <x:c r="G333" s="131" t="str">
        <x:f>IF(A333="","",IF(A333&lt;Contrato!$C$16,Contrato!$C$27,Contrato!$C$28))</x:f>
      </x:c>
      <x:c r="H333" s="131" t="str">
        <x:f>IF(A333="","",Contrato!$C$29)</x:f>
      </x:c>
      <x:c r="I333" s="131" t="str">
        <x:f>IF(A333="","",Contrato!$C$30)</x:f>
      </x:c>
      <x:c r="J333" s="131" t="str">
        <x:f>IF(A333="","",Contrato!$C$31)</x:f>
      </x:c>
      <x:c r="K333" s="131" t="str">
        <x:f>IF(A333="","",ROUND(SUM(G333:J333),2))</x:f>
      </x:c>
      <x:c r="L333" s="80"/>
      <x:c r="M333" s="77"/>
      <x:c r="N333" s="29" t="str">
        <x:f>IF(A333="","",IF(L333&gt;=K333,"Paga",IF(L333&gt;0,"Paga parcialmente",IF(C333&lt;$A$5,"Vencida","Prevista"))))</x:f>
      </x:c>
      <x:c r="O333" s="29" t="str">
        <x:f>IF(A333="","",$A$5-C333)</x:f>
      </x:c>
      <x:c r="P333" s="131" t="str">
        <x:f>IF(A333="","",IF(AND(O333&gt;0,MAX(K333-L333,0)&gt;0,N333&lt;&gt;"Paga"),ROUND(MAX(K333-L333,0)*'Parâmetros'!$B$34,2),0))</x:f>
      </x:c>
      <x:c r="Q333" s="131" t="str">
        <x:f>IF(A333="","",IF(AND(O333&gt;0,MAX(K333-L333,0)&gt;0,N333&lt;&gt;"Paga"),ROUND(MAX(K333-L333,0)*'Parâmetros'!$B$35*(O333/'Parâmetros'!$B$33),2),0))</x:f>
      </x:c>
      <x:c r="R333" s="131" t="str">
        <x:f>IF(A333="","",IF(O333&gt;0,ROUND(MAX(K333-L333,0)+P333+Q333,2),0))</x:f>
      </x:c>
      <x:c r="S333" s="131" t="str">
        <x:f>IF(A333="","",IF(OR(N333="Paga",O333&gt;0),0,ROUND(IF(K333=0,0,G333*MAX(K333-L333,0)/K333)/(1+'Parâmetros'!$C$13)^((C333-$A$5)/30),2)))</x:f>
      </x:c>
      <x:c r="T333" s="131" t="str">
        <x:f>IF(A333="","",0)</x:f>
      </x:c>
      <x:c r="U333" s="131" t="str">
        <x:f>IF(A333="","",0)</x:f>
      </x:c>
      <x:c r="V333" s="131" t="str">
        <x:f>IF(A333="","",IF(N333="Paga",0,IF(O333&gt;0,R333,S333)))</x:f>
      </x:c>
      <x:c r="W333" s="131" t="str">
        <x:f>IF(A333="","",ROUND(MAX(D333-F333,0),2))</x:f>
      </x:c>
      <x:c r="X333" s="131" t="str">
        <x:f>IF(A333="","",ROUND(SUM($G333:$G$407),2))</x:f>
      </x:c>
      <x:c r="Y333" s="131" t="str">
        <x:f>IF(A333="","",ROUND(MAX(X333-D333,0),2))</x:f>
      </x:c>
      <x:c r="Z333" s="131" t="str">
        <x:f>IF(A333="","",ROUND(SUM($V333:$V$407),2))</x:f>
      </x:c>
      <x:c r="AA333" s="131" t="str">
        <x:f>IF(A333="","",ROUND(SUM($K333:$K$407)-Z333,2))</x:f>
      </x:c>
      <x:c r="AB333" s="77"/>
      <x:c r="AC333" s="36" t="str">
        <x:f>IF(A333="","",IF(O333&gt;0,"Vencido: saldo da fatura + mora",IF(O333&lt;=0,"Vincendo: VP da parcela financeira; comissão/proteção futuras isentas","")))</x:f>
      </x:c>
    </x:row>
    <x:row r="334">
      <x:c r="A334" s="129" t="str">
        <x:f>IF(ROW()-7&lt;=Contrato!$C$16,ROW()-7,"")</x:f>
      </x:c>
      <x:c r="B334" s="129" t="str">
        <x:f>IF(A334="","",Contrato!$C$16)</x:f>
      </x:c>
      <x:c r="C334" s="130" t="str">
        <x:f>IF(A334="","",IF(AB334&lt;&gt;"",AB334,IF(Contrato!$C$14="Mensal",EDATE(Contrato!$C$13,A334-1),Contrato!$C$13+(A334-1)*IF(Contrato!$C$14="Quinzenal",14,IF(Contrato!$C$14="Semanal",7,1)))))</x:f>
      </x:c>
      <x:c r="D334" s="131" t="str">
        <x:f>IF(A334="","",W333)</x:f>
      </x:c>
      <x:c r="E334" s="131" t="str">
        <x:f>IF(A334="","",ROUND(D334*Simulador!$I$18,2))</x:f>
      </x:c>
      <x:c r="F334" s="131" t="str">
        <x:f>IF(A334="","",ROUND(MIN(D334,MAX(G334-E334,0)),2))</x:f>
      </x:c>
      <x:c r="G334" s="131" t="str">
        <x:f>IF(A334="","",IF(A334&lt;Contrato!$C$16,Contrato!$C$27,Contrato!$C$28))</x:f>
      </x:c>
      <x:c r="H334" s="131" t="str">
        <x:f>IF(A334="","",Contrato!$C$29)</x:f>
      </x:c>
      <x:c r="I334" s="131" t="str">
        <x:f>IF(A334="","",Contrato!$C$30)</x:f>
      </x:c>
      <x:c r="J334" s="131" t="str">
        <x:f>IF(A334="","",Contrato!$C$31)</x:f>
      </x:c>
      <x:c r="K334" s="131" t="str">
        <x:f>IF(A334="","",ROUND(SUM(G334:J334),2))</x:f>
      </x:c>
      <x:c r="L334" s="80"/>
      <x:c r="M334" s="77"/>
      <x:c r="N334" s="29" t="str">
        <x:f>IF(A334="","",IF(L334&gt;=K334,"Paga",IF(L334&gt;0,"Paga parcialmente",IF(C334&lt;$A$5,"Vencida","Prevista"))))</x:f>
      </x:c>
      <x:c r="O334" s="29" t="str">
        <x:f>IF(A334="","",$A$5-C334)</x:f>
      </x:c>
      <x:c r="P334" s="131" t="str">
        <x:f>IF(A334="","",IF(AND(O334&gt;0,MAX(K334-L334,0)&gt;0,N334&lt;&gt;"Paga"),ROUND(MAX(K334-L334,0)*'Parâmetros'!$B$34,2),0))</x:f>
      </x:c>
      <x:c r="Q334" s="131" t="str">
        <x:f>IF(A334="","",IF(AND(O334&gt;0,MAX(K334-L334,0)&gt;0,N334&lt;&gt;"Paga"),ROUND(MAX(K334-L334,0)*'Parâmetros'!$B$35*(O334/'Parâmetros'!$B$33),2),0))</x:f>
      </x:c>
      <x:c r="R334" s="131" t="str">
        <x:f>IF(A334="","",IF(O334&gt;0,ROUND(MAX(K334-L334,0)+P334+Q334,2),0))</x:f>
      </x:c>
      <x:c r="S334" s="131" t="str">
        <x:f>IF(A334="","",IF(OR(N334="Paga",O334&gt;0),0,ROUND(IF(K334=0,0,G334*MAX(K334-L334,0)/K334)/(1+'Parâmetros'!$C$13)^((C334-$A$5)/30),2)))</x:f>
      </x:c>
      <x:c r="T334" s="131" t="str">
        <x:f>IF(A334="","",0)</x:f>
      </x:c>
      <x:c r="U334" s="131" t="str">
        <x:f>IF(A334="","",0)</x:f>
      </x:c>
      <x:c r="V334" s="131" t="str">
        <x:f>IF(A334="","",IF(N334="Paga",0,IF(O334&gt;0,R334,S334)))</x:f>
      </x:c>
      <x:c r="W334" s="131" t="str">
        <x:f>IF(A334="","",ROUND(MAX(D334-F334,0),2))</x:f>
      </x:c>
      <x:c r="X334" s="131" t="str">
        <x:f>IF(A334="","",ROUND(SUM($G334:$G$407),2))</x:f>
      </x:c>
      <x:c r="Y334" s="131" t="str">
        <x:f>IF(A334="","",ROUND(MAX(X334-D334,0),2))</x:f>
      </x:c>
      <x:c r="Z334" s="131" t="str">
        <x:f>IF(A334="","",ROUND(SUM($V334:$V$407),2))</x:f>
      </x:c>
      <x:c r="AA334" s="131" t="str">
        <x:f>IF(A334="","",ROUND(SUM($K334:$K$407)-Z334,2))</x:f>
      </x:c>
      <x:c r="AB334" s="77"/>
      <x:c r="AC334" s="36" t="str">
        <x:f>IF(A334="","",IF(O334&gt;0,"Vencido: saldo da fatura + mora",IF(O334&lt;=0,"Vincendo: VP da parcela financeira; comissão/proteção futuras isentas","")))</x:f>
      </x:c>
    </x:row>
    <x:row r="335">
      <x:c r="A335" s="129" t="str">
        <x:f>IF(ROW()-7&lt;=Contrato!$C$16,ROW()-7,"")</x:f>
      </x:c>
      <x:c r="B335" s="129" t="str">
        <x:f>IF(A335="","",Contrato!$C$16)</x:f>
      </x:c>
      <x:c r="C335" s="130" t="str">
        <x:f>IF(A335="","",IF(AB335&lt;&gt;"",AB335,IF(Contrato!$C$14="Mensal",EDATE(Contrato!$C$13,A335-1),Contrato!$C$13+(A335-1)*IF(Contrato!$C$14="Quinzenal",14,IF(Contrato!$C$14="Semanal",7,1)))))</x:f>
      </x:c>
      <x:c r="D335" s="131" t="str">
        <x:f>IF(A335="","",W334)</x:f>
      </x:c>
      <x:c r="E335" s="131" t="str">
        <x:f>IF(A335="","",ROUND(D335*Simulador!$I$18,2))</x:f>
      </x:c>
      <x:c r="F335" s="131" t="str">
        <x:f>IF(A335="","",ROUND(MIN(D335,MAX(G335-E335,0)),2))</x:f>
      </x:c>
      <x:c r="G335" s="131" t="str">
        <x:f>IF(A335="","",IF(A335&lt;Contrato!$C$16,Contrato!$C$27,Contrato!$C$28))</x:f>
      </x:c>
      <x:c r="H335" s="131" t="str">
        <x:f>IF(A335="","",Contrato!$C$29)</x:f>
      </x:c>
      <x:c r="I335" s="131" t="str">
        <x:f>IF(A335="","",Contrato!$C$30)</x:f>
      </x:c>
      <x:c r="J335" s="131" t="str">
        <x:f>IF(A335="","",Contrato!$C$31)</x:f>
      </x:c>
      <x:c r="K335" s="131" t="str">
        <x:f>IF(A335="","",ROUND(SUM(G335:J335),2))</x:f>
      </x:c>
      <x:c r="L335" s="80"/>
      <x:c r="M335" s="77"/>
      <x:c r="N335" s="29" t="str">
        <x:f>IF(A335="","",IF(L335&gt;=K335,"Paga",IF(L335&gt;0,"Paga parcialmente",IF(C335&lt;$A$5,"Vencida","Prevista"))))</x:f>
      </x:c>
      <x:c r="O335" s="29" t="str">
        <x:f>IF(A335="","",$A$5-C335)</x:f>
      </x:c>
      <x:c r="P335" s="131" t="str">
        <x:f>IF(A335="","",IF(AND(O335&gt;0,MAX(K335-L335,0)&gt;0,N335&lt;&gt;"Paga"),ROUND(MAX(K335-L335,0)*'Parâmetros'!$B$34,2),0))</x:f>
      </x:c>
      <x:c r="Q335" s="131" t="str">
        <x:f>IF(A335="","",IF(AND(O335&gt;0,MAX(K335-L335,0)&gt;0,N335&lt;&gt;"Paga"),ROUND(MAX(K335-L335,0)*'Parâmetros'!$B$35*(O335/'Parâmetros'!$B$33),2),0))</x:f>
      </x:c>
      <x:c r="R335" s="131" t="str">
        <x:f>IF(A335="","",IF(O335&gt;0,ROUND(MAX(K335-L335,0)+P335+Q335,2),0))</x:f>
      </x:c>
      <x:c r="S335" s="131" t="str">
        <x:f>IF(A335="","",IF(OR(N335="Paga",O335&gt;0),0,ROUND(IF(K335=0,0,G335*MAX(K335-L335,0)/K335)/(1+'Parâmetros'!$C$13)^((C335-$A$5)/30),2)))</x:f>
      </x:c>
      <x:c r="T335" s="131" t="str">
        <x:f>IF(A335="","",0)</x:f>
      </x:c>
      <x:c r="U335" s="131" t="str">
        <x:f>IF(A335="","",0)</x:f>
      </x:c>
      <x:c r="V335" s="131" t="str">
        <x:f>IF(A335="","",IF(N335="Paga",0,IF(O335&gt;0,R335,S335)))</x:f>
      </x:c>
      <x:c r="W335" s="131" t="str">
        <x:f>IF(A335="","",ROUND(MAX(D335-F335,0),2))</x:f>
      </x:c>
      <x:c r="X335" s="131" t="str">
        <x:f>IF(A335="","",ROUND(SUM($G335:$G$407),2))</x:f>
      </x:c>
      <x:c r="Y335" s="131" t="str">
        <x:f>IF(A335="","",ROUND(MAX(X335-D335,0),2))</x:f>
      </x:c>
      <x:c r="Z335" s="131" t="str">
        <x:f>IF(A335="","",ROUND(SUM($V335:$V$407),2))</x:f>
      </x:c>
      <x:c r="AA335" s="131" t="str">
        <x:f>IF(A335="","",ROUND(SUM($K335:$K$407)-Z335,2))</x:f>
      </x:c>
      <x:c r="AB335" s="77"/>
      <x:c r="AC335" s="36" t="str">
        <x:f>IF(A335="","",IF(O335&gt;0,"Vencido: saldo da fatura + mora",IF(O335&lt;=0,"Vincendo: VP da parcela financeira; comissão/proteção futuras isentas","")))</x:f>
      </x:c>
    </x:row>
    <x:row r="336">
      <x:c r="A336" s="129" t="str">
        <x:f>IF(ROW()-7&lt;=Contrato!$C$16,ROW()-7,"")</x:f>
      </x:c>
      <x:c r="B336" s="129" t="str">
        <x:f>IF(A336="","",Contrato!$C$16)</x:f>
      </x:c>
      <x:c r="C336" s="130" t="str">
        <x:f>IF(A336="","",IF(AB336&lt;&gt;"",AB336,IF(Contrato!$C$14="Mensal",EDATE(Contrato!$C$13,A336-1),Contrato!$C$13+(A336-1)*IF(Contrato!$C$14="Quinzenal",14,IF(Contrato!$C$14="Semanal",7,1)))))</x:f>
      </x:c>
      <x:c r="D336" s="131" t="str">
        <x:f>IF(A336="","",W335)</x:f>
      </x:c>
      <x:c r="E336" s="131" t="str">
        <x:f>IF(A336="","",ROUND(D336*Simulador!$I$18,2))</x:f>
      </x:c>
      <x:c r="F336" s="131" t="str">
        <x:f>IF(A336="","",ROUND(MIN(D336,MAX(G336-E336,0)),2))</x:f>
      </x:c>
      <x:c r="G336" s="131" t="str">
        <x:f>IF(A336="","",IF(A336&lt;Contrato!$C$16,Contrato!$C$27,Contrato!$C$28))</x:f>
      </x:c>
      <x:c r="H336" s="131" t="str">
        <x:f>IF(A336="","",Contrato!$C$29)</x:f>
      </x:c>
      <x:c r="I336" s="131" t="str">
        <x:f>IF(A336="","",Contrato!$C$30)</x:f>
      </x:c>
      <x:c r="J336" s="131" t="str">
        <x:f>IF(A336="","",Contrato!$C$31)</x:f>
      </x:c>
      <x:c r="K336" s="131" t="str">
        <x:f>IF(A336="","",ROUND(SUM(G336:J336),2))</x:f>
      </x:c>
      <x:c r="L336" s="80"/>
      <x:c r="M336" s="77"/>
      <x:c r="N336" s="29" t="str">
        <x:f>IF(A336="","",IF(L336&gt;=K336,"Paga",IF(L336&gt;0,"Paga parcialmente",IF(C336&lt;$A$5,"Vencida","Prevista"))))</x:f>
      </x:c>
      <x:c r="O336" s="29" t="str">
        <x:f>IF(A336="","",$A$5-C336)</x:f>
      </x:c>
      <x:c r="P336" s="131" t="str">
        <x:f>IF(A336="","",IF(AND(O336&gt;0,MAX(K336-L336,0)&gt;0,N336&lt;&gt;"Paga"),ROUND(MAX(K336-L336,0)*'Parâmetros'!$B$34,2),0))</x:f>
      </x:c>
      <x:c r="Q336" s="131" t="str">
        <x:f>IF(A336="","",IF(AND(O336&gt;0,MAX(K336-L336,0)&gt;0,N336&lt;&gt;"Paga"),ROUND(MAX(K336-L336,0)*'Parâmetros'!$B$35*(O336/'Parâmetros'!$B$33),2),0))</x:f>
      </x:c>
      <x:c r="R336" s="131" t="str">
        <x:f>IF(A336="","",IF(O336&gt;0,ROUND(MAX(K336-L336,0)+P336+Q336,2),0))</x:f>
      </x:c>
      <x:c r="S336" s="131" t="str">
        <x:f>IF(A336="","",IF(OR(N336="Paga",O336&gt;0),0,ROUND(IF(K336=0,0,G336*MAX(K336-L336,0)/K336)/(1+'Parâmetros'!$C$13)^((C336-$A$5)/30),2)))</x:f>
      </x:c>
      <x:c r="T336" s="131" t="str">
        <x:f>IF(A336="","",0)</x:f>
      </x:c>
      <x:c r="U336" s="131" t="str">
        <x:f>IF(A336="","",0)</x:f>
      </x:c>
      <x:c r="V336" s="131" t="str">
        <x:f>IF(A336="","",IF(N336="Paga",0,IF(O336&gt;0,R336,S336)))</x:f>
      </x:c>
      <x:c r="W336" s="131" t="str">
        <x:f>IF(A336="","",ROUND(MAX(D336-F336,0),2))</x:f>
      </x:c>
      <x:c r="X336" s="131" t="str">
        <x:f>IF(A336="","",ROUND(SUM($G336:$G$407),2))</x:f>
      </x:c>
      <x:c r="Y336" s="131" t="str">
        <x:f>IF(A336="","",ROUND(MAX(X336-D336,0),2))</x:f>
      </x:c>
      <x:c r="Z336" s="131" t="str">
        <x:f>IF(A336="","",ROUND(SUM($V336:$V$407),2))</x:f>
      </x:c>
      <x:c r="AA336" s="131" t="str">
        <x:f>IF(A336="","",ROUND(SUM($K336:$K$407)-Z336,2))</x:f>
      </x:c>
      <x:c r="AB336" s="77"/>
      <x:c r="AC336" s="36" t="str">
        <x:f>IF(A336="","",IF(O336&gt;0,"Vencido: saldo da fatura + mora",IF(O336&lt;=0,"Vincendo: VP da parcela financeira; comissão/proteção futuras isentas","")))</x:f>
      </x:c>
    </x:row>
    <x:row r="337">
      <x:c r="A337" s="129" t="str">
        <x:f>IF(ROW()-7&lt;=Contrato!$C$16,ROW()-7,"")</x:f>
      </x:c>
      <x:c r="B337" s="129" t="str">
        <x:f>IF(A337="","",Contrato!$C$16)</x:f>
      </x:c>
      <x:c r="C337" s="130" t="str">
        <x:f>IF(A337="","",IF(AB337&lt;&gt;"",AB337,IF(Contrato!$C$14="Mensal",EDATE(Contrato!$C$13,A337-1),Contrato!$C$13+(A337-1)*IF(Contrato!$C$14="Quinzenal",14,IF(Contrato!$C$14="Semanal",7,1)))))</x:f>
      </x:c>
      <x:c r="D337" s="131" t="str">
        <x:f>IF(A337="","",W336)</x:f>
      </x:c>
      <x:c r="E337" s="131" t="str">
        <x:f>IF(A337="","",ROUND(D337*Simulador!$I$18,2))</x:f>
      </x:c>
      <x:c r="F337" s="131" t="str">
        <x:f>IF(A337="","",ROUND(MIN(D337,MAX(G337-E337,0)),2))</x:f>
      </x:c>
      <x:c r="G337" s="131" t="str">
        <x:f>IF(A337="","",IF(A337&lt;Contrato!$C$16,Contrato!$C$27,Contrato!$C$28))</x:f>
      </x:c>
      <x:c r="H337" s="131" t="str">
        <x:f>IF(A337="","",Contrato!$C$29)</x:f>
      </x:c>
      <x:c r="I337" s="131" t="str">
        <x:f>IF(A337="","",Contrato!$C$30)</x:f>
      </x:c>
      <x:c r="J337" s="131" t="str">
        <x:f>IF(A337="","",Contrato!$C$31)</x:f>
      </x:c>
      <x:c r="K337" s="131" t="str">
        <x:f>IF(A337="","",ROUND(SUM(G337:J337),2))</x:f>
      </x:c>
      <x:c r="L337" s="80"/>
      <x:c r="M337" s="77"/>
      <x:c r="N337" s="29" t="str">
        <x:f>IF(A337="","",IF(L337&gt;=K337,"Paga",IF(L337&gt;0,"Paga parcialmente",IF(C337&lt;$A$5,"Vencida","Prevista"))))</x:f>
      </x:c>
      <x:c r="O337" s="29" t="str">
        <x:f>IF(A337="","",$A$5-C337)</x:f>
      </x:c>
      <x:c r="P337" s="131" t="str">
        <x:f>IF(A337="","",IF(AND(O337&gt;0,MAX(K337-L337,0)&gt;0,N337&lt;&gt;"Paga"),ROUND(MAX(K337-L337,0)*'Parâmetros'!$B$34,2),0))</x:f>
      </x:c>
      <x:c r="Q337" s="131" t="str">
        <x:f>IF(A337="","",IF(AND(O337&gt;0,MAX(K337-L337,0)&gt;0,N337&lt;&gt;"Paga"),ROUND(MAX(K337-L337,0)*'Parâmetros'!$B$35*(O337/'Parâmetros'!$B$33),2),0))</x:f>
      </x:c>
      <x:c r="R337" s="131" t="str">
        <x:f>IF(A337="","",IF(O337&gt;0,ROUND(MAX(K337-L337,0)+P337+Q337,2),0))</x:f>
      </x:c>
      <x:c r="S337" s="131" t="str">
        <x:f>IF(A337="","",IF(OR(N337="Paga",O337&gt;0),0,ROUND(IF(K337=0,0,G337*MAX(K337-L337,0)/K337)/(1+'Parâmetros'!$C$13)^((C337-$A$5)/30),2)))</x:f>
      </x:c>
      <x:c r="T337" s="131" t="str">
        <x:f>IF(A337="","",0)</x:f>
      </x:c>
      <x:c r="U337" s="131" t="str">
        <x:f>IF(A337="","",0)</x:f>
      </x:c>
      <x:c r="V337" s="131" t="str">
        <x:f>IF(A337="","",IF(N337="Paga",0,IF(O337&gt;0,R337,S337)))</x:f>
      </x:c>
      <x:c r="W337" s="131" t="str">
        <x:f>IF(A337="","",ROUND(MAX(D337-F337,0),2))</x:f>
      </x:c>
      <x:c r="X337" s="131" t="str">
        <x:f>IF(A337="","",ROUND(SUM($G337:$G$407),2))</x:f>
      </x:c>
      <x:c r="Y337" s="131" t="str">
        <x:f>IF(A337="","",ROUND(MAX(X337-D337,0),2))</x:f>
      </x:c>
      <x:c r="Z337" s="131" t="str">
        <x:f>IF(A337="","",ROUND(SUM($V337:$V$407),2))</x:f>
      </x:c>
      <x:c r="AA337" s="131" t="str">
        <x:f>IF(A337="","",ROUND(SUM($K337:$K$407)-Z337,2))</x:f>
      </x:c>
      <x:c r="AB337" s="77"/>
      <x:c r="AC337" s="36" t="str">
        <x:f>IF(A337="","",IF(O337&gt;0,"Vencido: saldo da fatura + mora",IF(O337&lt;=0,"Vincendo: VP da parcela financeira; comissão/proteção futuras isentas","")))</x:f>
      </x:c>
    </x:row>
    <x:row r="338">
      <x:c r="A338" s="129" t="str">
        <x:f>IF(ROW()-7&lt;=Contrato!$C$16,ROW()-7,"")</x:f>
      </x:c>
      <x:c r="B338" s="129" t="str">
        <x:f>IF(A338="","",Contrato!$C$16)</x:f>
      </x:c>
      <x:c r="C338" s="130" t="str">
        <x:f>IF(A338="","",IF(AB338&lt;&gt;"",AB338,IF(Contrato!$C$14="Mensal",EDATE(Contrato!$C$13,A338-1),Contrato!$C$13+(A338-1)*IF(Contrato!$C$14="Quinzenal",14,IF(Contrato!$C$14="Semanal",7,1)))))</x:f>
      </x:c>
      <x:c r="D338" s="131" t="str">
        <x:f>IF(A338="","",W337)</x:f>
      </x:c>
      <x:c r="E338" s="131" t="str">
        <x:f>IF(A338="","",ROUND(D338*Simulador!$I$18,2))</x:f>
      </x:c>
      <x:c r="F338" s="131" t="str">
        <x:f>IF(A338="","",ROUND(MIN(D338,MAX(G338-E338,0)),2))</x:f>
      </x:c>
      <x:c r="G338" s="131" t="str">
        <x:f>IF(A338="","",IF(A338&lt;Contrato!$C$16,Contrato!$C$27,Contrato!$C$28))</x:f>
      </x:c>
      <x:c r="H338" s="131" t="str">
        <x:f>IF(A338="","",Contrato!$C$29)</x:f>
      </x:c>
      <x:c r="I338" s="131" t="str">
        <x:f>IF(A338="","",Contrato!$C$30)</x:f>
      </x:c>
      <x:c r="J338" s="131" t="str">
        <x:f>IF(A338="","",Contrato!$C$31)</x:f>
      </x:c>
      <x:c r="K338" s="131" t="str">
        <x:f>IF(A338="","",ROUND(SUM(G338:J338),2))</x:f>
      </x:c>
      <x:c r="L338" s="80"/>
      <x:c r="M338" s="77"/>
      <x:c r="N338" s="29" t="str">
        <x:f>IF(A338="","",IF(L338&gt;=K338,"Paga",IF(L338&gt;0,"Paga parcialmente",IF(C338&lt;$A$5,"Vencida","Prevista"))))</x:f>
      </x:c>
      <x:c r="O338" s="29" t="str">
        <x:f>IF(A338="","",$A$5-C338)</x:f>
      </x:c>
      <x:c r="P338" s="131" t="str">
        <x:f>IF(A338="","",IF(AND(O338&gt;0,MAX(K338-L338,0)&gt;0,N338&lt;&gt;"Paga"),ROUND(MAX(K338-L338,0)*'Parâmetros'!$B$34,2),0))</x:f>
      </x:c>
      <x:c r="Q338" s="131" t="str">
        <x:f>IF(A338="","",IF(AND(O338&gt;0,MAX(K338-L338,0)&gt;0,N338&lt;&gt;"Paga"),ROUND(MAX(K338-L338,0)*'Parâmetros'!$B$35*(O338/'Parâmetros'!$B$33),2),0))</x:f>
      </x:c>
      <x:c r="R338" s="131" t="str">
        <x:f>IF(A338="","",IF(O338&gt;0,ROUND(MAX(K338-L338,0)+P338+Q338,2),0))</x:f>
      </x:c>
      <x:c r="S338" s="131" t="str">
        <x:f>IF(A338="","",IF(OR(N338="Paga",O338&gt;0),0,ROUND(IF(K338=0,0,G338*MAX(K338-L338,0)/K338)/(1+'Parâmetros'!$C$13)^((C338-$A$5)/30),2)))</x:f>
      </x:c>
      <x:c r="T338" s="131" t="str">
        <x:f>IF(A338="","",0)</x:f>
      </x:c>
      <x:c r="U338" s="131" t="str">
        <x:f>IF(A338="","",0)</x:f>
      </x:c>
      <x:c r="V338" s="131" t="str">
        <x:f>IF(A338="","",IF(N338="Paga",0,IF(O338&gt;0,R338,S338)))</x:f>
      </x:c>
      <x:c r="W338" s="131" t="str">
        <x:f>IF(A338="","",ROUND(MAX(D338-F338,0),2))</x:f>
      </x:c>
      <x:c r="X338" s="131" t="str">
        <x:f>IF(A338="","",ROUND(SUM($G338:$G$407),2))</x:f>
      </x:c>
      <x:c r="Y338" s="131" t="str">
        <x:f>IF(A338="","",ROUND(MAX(X338-D338,0),2))</x:f>
      </x:c>
      <x:c r="Z338" s="131" t="str">
        <x:f>IF(A338="","",ROUND(SUM($V338:$V$407),2))</x:f>
      </x:c>
      <x:c r="AA338" s="131" t="str">
        <x:f>IF(A338="","",ROUND(SUM($K338:$K$407)-Z338,2))</x:f>
      </x:c>
      <x:c r="AB338" s="77"/>
      <x:c r="AC338" s="36" t="str">
        <x:f>IF(A338="","",IF(O338&gt;0,"Vencido: saldo da fatura + mora",IF(O338&lt;=0,"Vincendo: VP da parcela financeira; comissão/proteção futuras isentas","")))</x:f>
      </x:c>
    </x:row>
    <x:row r="339">
      <x:c r="A339" s="129" t="str">
        <x:f>IF(ROW()-7&lt;=Contrato!$C$16,ROW()-7,"")</x:f>
      </x:c>
      <x:c r="B339" s="129" t="str">
        <x:f>IF(A339="","",Contrato!$C$16)</x:f>
      </x:c>
      <x:c r="C339" s="130" t="str">
        <x:f>IF(A339="","",IF(AB339&lt;&gt;"",AB339,IF(Contrato!$C$14="Mensal",EDATE(Contrato!$C$13,A339-1),Contrato!$C$13+(A339-1)*IF(Contrato!$C$14="Quinzenal",14,IF(Contrato!$C$14="Semanal",7,1)))))</x:f>
      </x:c>
      <x:c r="D339" s="131" t="str">
        <x:f>IF(A339="","",W338)</x:f>
      </x:c>
      <x:c r="E339" s="131" t="str">
        <x:f>IF(A339="","",ROUND(D339*Simulador!$I$18,2))</x:f>
      </x:c>
      <x:c r="F339" s="131" t="str">
        <x:f>IF(A339="","",ROUND(MIN(D339,MAX(G339-E339,0)),2))</x:f>
      </x:c>
      <x:c r="G339" s="131" t="str">
        <x:f>IF(A339="","",IF(A339&lt;Contrato!$C$16,Contrato!$C$27,Contrato!$C$28))</x:f>
      </x:c>
      <x:c r="H339" s="131" t="str">
        <x:f>IF(A339="","",Contrato!$C$29)</x:f>
      </x:c>
      <x:c r="I339" s="131" t="str">
        <x:f>IF(A339="","",Contrato!$C$30)</x:f>
      </x:c>
      <x:c r="J339" s="131" t="str">
        <x:f>IF(A339="","",Contrato!$C$31)</x:f>
      </x:c>
      <x:c r="K339" s="131" t="str">
        <x:f>IF(A339="","",ROUND(SUM(G339:J339),2))</x:f>
      </x:c>
      <x:c r="L339" s="80"/>
      <x:c r="M339" s="77"/>
      <x:c r="N339" s="29" t="str">
        <x:f>IF(A339="","",IF(L339&gt;=K339,"Paga",IF(L339&gt;0,"Paga parcialmente",IF(C339&lt;$A$5,"Vencida","Prevista"))))</x:f>
      </x:c>
      <x:c r="O339" s="29" t="str">
        <x:f>IF(A339="","",$A$5-C339)</x:f>
      </x:c>
      <x:c r="P339" s="131" t="str">
        <x:f>IF(A339="","",IF(AND(O339&gt;0,MAX(K339-L339,0)&gt;0,N339&lt;&gt;"Paga"),ROUND(MAX(K339-L339,0)*'Parâmetros'!$B$34,2),0))</x:f>
      </x:c>
      <x:c r="Q339" s="131" t="str">
        <x:f>IF(A339="","",IF(AND(O339&gt;0,MAX(K339-L339,0)&gt;0,N339&lt;&gt;"Paga"),ROUND(MAX(K339-L339,0)*'Parâmetros'!$B$35*(O339/'Parâmetros'!$B$33),2),0))</x:f>
      </x:c>
      <x:c r="R339" s="131" t="str">
        <x:f>IF(A339="","",IF(O339&gt;0,ROUND(MAX(K339-L339,0)+P339+Q339,2),0))</x:f>
      </x:c>
      <x:c r="S339" s="131" t="str">
        <x:f>IF(A339="","",IF(OR(N339="Paga",O339&gt;0),0,ROUND(IF(K339=0,0,G339*MAX(K339-L339,0)/K339)/(1+'Parâmetros'!$C$13)^((C339-$A$5)/30),2)))</x:f>
      </x:c>
      <x:c r="T339" s="131" t="str">
        <x:f>IF(A339="","",0)</x:f>
      </x:c>
      <x:c r="U339" s="131" t="str">
        <x:f>IF(A339="","",0)</x:f>
      </x:c>
      <x:c r="V339" s="131" t="str">
        <x:f>IF(A339="","",IF(N339="Paga",0,IF(O339&gt;0,R339,S339)))</x:f>
      </x:c>
      <x:c r="W339" s="131" t="str">
        <x:f>IF(A339="","",ROUND(MAX(D339-F339,0),2))</x:f>
      </x:c>
      <x:c r="X339" s="131" t="str">
        <x:f>IF(A339="","",ROUND(SUM($G339:$G$407),2))</x:f>
      </x:c>
      <x:c r="Y339" s="131" t="str">
        <x:f>IF(A339="","",ROUND(MAX(X339-D339,0),2))</x:f>
      </x:c>
      <x:c r="Z339" s="131" t="str">
        <x:f>IF(A339="","",ROUND(SUM($V339:$V$407),2))</x:f>
      </x:c>
      <x:c r="AA339" s="131" t="str">
        <x:f>IF(A339="","",ROUND(SUM($K339:$K$407)-Z339,2))</x:f>
      </x:c>
      <x:c r="AB339" s="77"/>
      <x:c r="AC339" s="36" t="str">
        <x:f>IF(A339="","",IF(O339&gt;0,"Vencido: saldo da fatura + mora",IF(O339&lt;=0,"Vincendo: VP da parcela financeira; comissão/proteção futuras isentas","")))</x:f>
      </x:c>
    </x:row>
    <x:row r="340">
      <x:c r="A340" s="129" t="str">
        <x:f>IF(ROW()-7&lt;=Contrato!$C$16,ROW()-7,"")</x:f>
      </x:c>
      <x:c r="B340" s="129" t="str">
        <x:f>IF(A340="","",Contrato!$C$16)</x:f>
      </x:c>
      <x:c r="C340" s="130" t="str">
        <x:f>IF(A340="","",IF(AB340&lt;&gt;"",AB340,IF(Contrato!$C$14="Mensal",EDATE(Contrato!$C$13,A340-1),Contrato!$C$13+(A340-1)*IF(Contrato!$C$14="Quinzenal",14,IF(Contrato!$C$14="Semanal",7,1)))))</x:f>
      </x:c>
      <x:c r="D340" s="131" t="str">
        <x:f>IF(A340="","",W339)</x:f>
      </x:c>
      <x:c r="E340" s="131" t="str">
        <x:f>IF(A340="","",ROUND(D340*Simulador!$I$18,2))</x:f>
      </x:c>
      <x:c r="F340" s="131" t="str">
        <x:f>IF(A340="","",ROUND(MIN(D340,MAX(G340-E340,0)),2))</x:f>
      </x:c>
      <x:c r="G340" s="131" t="str">
        <x:f>IF(A340="","",IF(A340&lt;Contrato!$C$16,Contrato!$C$27,Contrato!$C$28))</x:f>
      </x:c>
      <x:c r="H340" s="131" t="str">
        <x:f>IF(A340="","",Contrato!$C$29)</x:f>
      </x:c>
      <x:c r="I340" s="131" t="str">
        <x:f>IF(A340="","",Contrato!$C$30)</x:f>
      </x:c>
      <x:c r="J340" s="131" t="str">
        <x:f>IF(A340="","",Contrato!$C$31)</x:f>
      </x:c>
      <x:c r="K340" s="131" t="str">
        <x:f>IF(A340="","",ROUND(SUM(G340:J340),2))</x:f>
      </x:c>
      <x:c r="L340" s="80"/>
      <x:c r="M340" s="77"/>
      <x:c r="N340" s="29" t="str">
        <x:f>IF(A340="","",IF(L340&gt;=K340,"Paga",IF(L340&gt;0,"Paga parcialmente",IF(C340&lt;$A$5,"Vencida","Prevista"))))</x:f>
      </x:c>
      <x:c r="O340" s="29" t="str">
        <x:f>IF(A340="","",$A$5-C340)</x:f>
      </x:c>
      <x:c r="P340" s="131" t="str">
        <x:f>IF(A340="","",IF(AND(O340&gt;0,MAX(K340-L340,0)&gt;0,N340&lt;&gt;"Paga"),ROUND(MAX(K340-L340,0)*'Parâmetros'!$B$34,2),0))</x:f>
      </x:c>
      <x:c r="Q340" s="131" t="str">
        <x:f>IF(A340="","",IF(AND(O340&gt;0,MAX(K340-L340,0)&gt;0,N340&lt;&gt;"Paga"),ROUND(MAX(K340-L340,0)*'Parâmetros'!$B$35*(O340/'Parâmetros'!$B$33),2),0))</x:f>
      </x:c>
      <x:c r="R340" s="131" t="str">
        <x:f>IF(A340="","",IF(O340&gt;0,ROUND(MAX(K340-L340,0)+P340+Q340,2),0))</x:f>
      </x:c>
      <x:c r="S340" s="131" t="str">
        <x:f>IF(A340="","",IF(OR(N340="Paga",O340&gt;0),0,ROUND(IF(K340=0,0,G340*MAX(K340-L340,0)/K340)/(1+'Parâmetros'!$C$13)^((C340-$A$5)/30),2)))</x:f>
      </x:c>
      <x:c r="T340" s="131" t="str">
        <x:f>IF(A340="","",0)</x:f>
      </x:c>
      <x:c r="U340" s="131" t="str">
        <x:f>IF(A340="","",0)</x:f>
      </x:c>
      <x:c r="V340" s="131" t="str">
        <x:f>IF(A340="","",IF(N340="Paga",0,IF(O340&gt;0,R340,S340)))</x:f>
      </x:c>
      <x:c r="W340" s="131" t="str">
        <x:f>IF(A340="","",ROUND(MAX(D340-F340,0),2))</x:f>
      </x:c>
      <x:c r="X340" s="131" t="str">
        <x:f>IF(A340="","",ROUND(SUM($G340:$G$407),2))</x:f>
      </x:c>
      <x:c r="Y340" s="131" t="str">
        <x:f>IF(A340="","",ROUND(MAX(X340-D340,0),2))</x:f>
      </x:c>
      <x:c r="Z340" s="131" t="str">
        <x:f>IF(A340="","",ROUND(SUM($V340:$V$407),2))</x:f>
      </x:c>
      <x:c r="AA340" s="131" t="str">
        <x:f>IF(A340="","",ROUND(SUM($K340:$K$407)-Z340,2))</x:f>
      </x:c>
      <x:c r="AB340" s="77"/>
      <x:c r="AC340" s="36" t="str">
        <x:f>IF(A340="","",IF(O340&gt;0,"Vencido: saldo da fatura + mora",IF(O340&lt;=0,"Vincendo: VP da parcela financeira; comissão/proteção futuras isentas","")))</x:f>
      </x:c>
    </x:row>
    <x:row r="341">
      <x:c r="A341" s="129" t="str">
        <x:f>IF(ROW()-7&lt;=Contrato!$C$16,ROW()-7,"")</x:f>
      </x:c>
      <x:c r="B341" s="129" t="str">
        <x:f>IF(A341="","",Contrato!$C$16)</x:f>
      </x:c>
      <x:c r="C341" s="130" t="str">
        <x:f>IF(A341="","",IF(AB341&lt;&gt;"",AB341,IF(Contrato!$C$14="Mensal",EDATE(Contrato!$C$13,A341-1),Contrato!$C$13+(A341-1)*IF(Contrato!$C$14="Quinzenal",14,IF(Contrato!$C$14="Semanal",7,1)))))</x:f>
      </x:c>
      <x:c r="D341" s="131" t="str">
        <x:f>IF(A341="","",W340)</x:f>
      </x:c>
      <x:c r="E341" s="131" t="str">
        <x:f>IF(A341="","",ROUND(D341*Simulador!$I$18,2))</x:f>
      </x:c>
      <x:c r="F341" s="131" t="str">
        <x:f>IF(A341="","",ROUND(MIN(D341,MAX(G341-E341,0)),2))</x:f>
      </x:c>
      <x:c r="G341" s="131" t="str">
        <x:f>IF(A341="","",IF(A341&lt;Contrato!$C$16,Contrato!$C$27,Contrato!$C$28))</x:f>
      </x:c>
      <x:c r="H341" s="131" t="str">
        <x:f>IF(A341="","",Contrato!$C$29)</x:f>
      </x:c>
      <x:c r="I341" s="131" t="str">
        <x:f>IF(A341="","",Contrato!$C$30)</x:f>
      </x:c>
      <x:c r="J341" s="131" t="str">
        <x:f>IF(A341="","",Contrato!$C$31)</x:f>
      </x:c>
      <x:c r="K341" s="131" t="str">
        <x:f>IF(A341="","",ROUND(SUM(G341:J341),2))</x:f>
      </x:c>
      <x:c r="L341" s="80"/>
      <x:c r="M341" s="77"/>
      <x:c r="N341" s="29" t="str">
        <x:f>IF(A341="","",IF(L341&gt;=K341,"Paga",IF(L341&gt;0,"Paga parcialmente",IF(C341&lt;$A$5,"Vencida","Prevista"))))</x:f>
      </x:c>
      <x:c r="O341" s="29" t="str">
        <x:f>IF(A341="","",$A$5-C341)</x:f>
      </x:c>
      <x:c r="P341" s="131" t="str">
        <x:f>IF(A341="","",IF(AND(O341&gt;0,MAX(K341-L341,0)&gt;0,N341&lt;&gt;"Paga"),ROUND(MAX(K341-L341,0)*'Parâmetros'!$B$34,2),0))</x:f>
      </x:c>
      <x:c r="Q341" s="131" t="str">
        <x:f>IF(A341="","",IF(AND(O341&gt;0,MAX(K341-L341,0)&gt;0,N341&lt;&gt;"Paga"),ROUND(MAX(K341-L341,0)*'Parâmetros'!$B$35*(O341/'Parâmetros'!$B$33),2),0))</x:f>
      </x:c>
      <x:c r="R341" s="131" t="str">
        <x:f>IF(A341="","",IF(O341&gt;0,ROUND(MAX(K341-L341,0)+P341+Q341,2),0))</x:f>
      </x:c>
      <x:c r="S341" s="131" t="str">
        <x:f>IF(A341="","",IF(OR(N341="Paga",O341&gt;0),0,ROUND(IF(K341=0,0,G341*MAX(K341-L341,0)/K341)/(1+'Parâmetros'!$C$13)^((C341-$A$5)/30),2)))</x:f>
      </x:c>
      <x:c r="T341" s="131" t="str">
        <x:f>IF(A341="","",0)</x:f>
      </x:c>
      <x:c r="U341" s="131" t="str">
        <x:f>IF(A341="","",0)</x:f>
      </x:c>
      <x:c r="V341" s="131" t="str">
        <x:f>IF(A341="","",IF(N341="Paga",0,IF(O341&gt;0,R341,S341)))</x:f>
      </x:c>
      <x:c r="W341" s="131" t="str">
        <x:f>IF(A341="","",ROUND(MAX(D341-F341,0),2))</x:f>
      </x:c>
      <x:c r="X341" s="131" t="str">
        <x:f>IF(A341="","",ROUND(SUM($G341:$G$407),2))</x:f>
      </x:c>
      <x:c r="Y341" s="131" t="str">
        <x:f>IF(A341="","",ROUND(MAX(X341-D341,0),2))</x:f>
      </x:c>
      <x:c r="Z341" s="131" t="str">
        <x:f>IF(A341="","",ROUND(SUM($V341:$V$407),2))</x:f>
      </x:c>
      <x:c r="AA341" s="131" t="str">
        <x:f>IF(A341="","",ROUND(SUM($K341:$K$407)-Z341,2))</x:f>
      </x:c>
      <x:c r="AB341" s="77"/>
      <x:c r="AC341" s="36" t="str">
        <x:f>IF(A341="","",IF(O341&gt;0,"Vencido: saldo da fatura + mora",IF(O341&lt;=0,"Vincendo: VP da parcela financeira; comissão/proteção futuras isentas","")))</x:f>
      </x:c>
    </x:row>
    <x:row r="342">
      <x:c r="A342" s="129" t="str">
        <x:f>IF(ROW()-7&lt;=Contrato!$C$16,ROW()-7,"")</x:f>
      </x:c>
      <x:c r="B342" s="129" t="str">
        <x:f>IF(A342="","",Contrato!$C$16)</x:f>
      </x:c>
      <x:c r="C342" s="130" t="str">
        <x:f>IF(A342="","",IF(AB342&lt;&gt;"",AB342,IF(Contrato!$C$14="Mensal",EDATE(Contrato!$C$13,A342-1),Contrato!$C$13+(A342-1)*IF(Contrato!$C$14="Quinzenal",14,IF(Contrato!$C$14="Semanal",7,1)))))</x:f>
      </x:c>
      <x:c r="D342" s="131" t="str">
        <x:f>IF(A342="","",W341)</x:f>
      </x:c>
      <x:c r="E342" s="131" t="str">
        <x:f>IF(A342="","",ROUND(D342*Simulador!$I$18,2))</x:f>
      </x:c>
      <x:c r="F342" s="131" t="str">
        <x:f>IF(A342="","",ROUND(MIN(D342,MAX(G342-E342,0)),2))</x:f>
      </x:c>
      <x:c r="G342" s="131" t="str">
        <x:f>IF(A342="","",IF(A342&lt;Contrato!$C$16,Contrato!$C$27,Contrato!$C$28))</x:f>
      </x:c>
      <x:c r="H342" s="131" t="str">
        <x:f>IF(A342="","",Contrato!$C$29)</x:f>
      </x:c>
      <x:c r="I342" s="131" t="str">
        <x:f>IF(A342="","",Contrato!$C$30)</x:f>
      </x:c>
      <x:c r="J342" s="131" t="str">
        <x:f>IF(A342="","",Contrato!$C$31)</x:f>
      </x:c>
      <x:c r="K342" s="131" t="str">
        <x:f>IF(A342="","",ROUND(SUM(G342:J342),2))</x:f>
      </x:c>
      <x:c r="L342" s="80"/>
      <x:c r="M342" s="77"/>
      <x:c r="N342" s="29" t="str">
        <x:f>IF(A342="","",IF(L342&gt;=K342,"Paga",IF(L342&gt;0,"Paga parcialmente",IF(C342&lt;$A$5,"Vencida","Prevista"))))</x:f>
      </x:c>
      <x:c r="O342" s="29" t="str">
        <x:f>IF(A342="","",$A$5-C342)</x:f>
      </x:c>
      <x:c r="P342" s="131" t="str">
        <x:f>IF(A342="","",IF(AND(O342&gt;0,MAX(K342-L342,0)&gt;0,N342&lt;&gt;"Paga"),ROUND(MAX(K342-L342,0)*'Parâmetros'!$B$34,2),0))</x:f>
      </x:c>
      <x:c r="Q342" s="131" t="str">
        <x:f>IF(A342="","",IF(AND(O342&gt;0,MAX(K342-L342,0)&gt;0,N342&lt;&gt;"Paga"),ROUND(MAX(K342-L342,0)*'Parâmetros'!$B$35*(O342/'Parâmetros'!$B$33),2),0))</x:f>
      </x:c>
      <x:c r="R342" s="131" t="str">
        <x:f>IF(A342="","",IF(O342&gt;0,ROUND(MAX(K342-L342,0)+P342+Q342,2),0))</x:f>
      </x:c>
      <x:c r="S342" s="131" t="str">
        <x:f>IF(A342="","",IF(OR(N342="Paga",O342&gt;0),0,ROUND(IF(K342=0,0,G342*MAX(K342-L342,0)/K342)/(1+'Parâmetros'!$C$13)^((C342-$A$5)/30),2)))</x:f>
      </x:c>
      <x:c r="T342" s="131" t="str">
        <x:f>IF(A342="","",0)</x:f>
      </x:c>
      <x:c r="U342" s="131" t="str">
        <x:f>IF(A342="","",0)</x:f>
      </x:c>
      <x:c r="V342" s="131" t="str">
        <x:f>IF(A342="","",IF(N342="Paga",0,IF(O342&gt;0,R342,S342)))</x:f>
      </x:c>
      <x:c r="W342" s="131" t="str">
        <x:f>IF(A342="","",ROUND(MAX(D342-F342,0),2))</x:f>
      </x:c>
      <x:c r="X342" s="131" t="str">
        <x:f>IF(A342="","",ROUND(SUM($G342:$G$407),2))</x:f>
      </x:c>
      <x:c r="Y342" s="131" t="str">
        <x:f>IF(A342="","",ROUND(MAX(X342-D342,0),2))</x:f>
      </x:c>
      <x:c r="Z342" s="131" t="str">
        <x:f>IF(A342="","",ROUND(SUM($V342:$V$407),2))</x:f>
      </x:c>
      <x:c r="AA342" s="131" t="str">
        <x:f>IF(A342="","",ROUND(SUM($K342:$K$407)-Z342,2))</x:f>
      </x:c>
      <x:c r="AB342" s="77"/>
      <x:c r="AC342" s="36" t="str">
        <x:f>IF(A342="","",IF(O342&gt;0,"Vencido: saldo da fatura + mora",IF(O342&lt;=0,"Vincendo: VP da parcela financeira; comissão/proteção futuras isentas","")))</x:f>
      </x:c>
    </x:row>
    <x:row r="343">
      <x:c r="A343" s="129" t="str">
        <x:f>IF(ROW()-7&lt;=Contrato!$C$16,ROW()-7,"")</x:f>
      </x:c>
      <x:c r="B343" s="129" t="str">
        <x:f>IF(A343="","",Contrato!$C$16)</x:f>
      </x:c>
      <x:c r="C343" s="130" t="str">
        <x:f>IF(A343="","",IF(AB343&lt;&gt;"",AB343,IF(Contrato!$C$14="Mensal",EDATE(Contrato!$C$13,A343-1),Contrato!$C$13+(A343-1)*IF(Contrato!$C$14="Quinzenal",14,IF(Contrato!$C$14="Semanal",7,1)))))</x:f>
      </x:c>
      <x:c r="D343" s="131" t="str">
        <x:f>IF(A343="","",W342)</x:f>
      </x:c>
      <x:c r="E343" s="131" t="str">
        <x:f>IF(A343="","",ROUND(D343*Simulador!$I$18,2))</x:f>
      </x:c>
      <x:c r="F343" s="131" t="str">
        <x:f>IF(A343="","",ROUND(MIN(D343,MAX(G343-E343,0)),2))</x:f>
      </x:c>
      <x:c r="G343" s="131" t="str">
        <x:f>IF(A343="","",IF(A343&lt;Contrato!$C$16,Contrato!$C$27,Contrato!$C$28))</x:f>
      </x:c>
      <x:c r="H343" s="131" t="str">
        <x:f>IF(A343="","",Contrato!$C$29)</x:f>
      </x:c>
      <x:c r="I343" s="131" t="str">
        <x:f>IF(A343="","",Contrato!$C$30)</x:f>
      </x:c>
      <x:c r="J343" s="131" t="str">
        <x:f>IF(A343="","",Contrato!$C$31)</x:f>
      </x:c>
      <x:c r="K343" s="131" t="str">
        <x:f>IF(A343="","",ROUND(SUM(G343:J343),2))</x:f>
      </x:c>
      <x:c r="L343" s="80"/>
      <x:c r="M343" s="77"/>
      <x:c r="N343" s="29" t="str">
        <x:f>IF(A343="","",IF(L343&gt;=K343,"Paga",IF(L343&gt;0,"Paga parcialmente",IF(C343&lt;$A$5,"Vencida","Prevista"))))</x:f>
      </x:c>
      <x:c r="O343" s="29" t="str">
        <x:f>IF(A343="","",$A$5-C343)</x:f>
      </x:c>
      <x:c r="P343" s="131" t="str">
        <x:f>IF(A343="","",IF(AND(O343&gt;0,MAX(K343-L343,0)&gt;0,N343&lt;&gt;"Paga"),ROUND(MAX(K343-L343,0)*'Parâmetros'!$B$34,2),0))</x:f>
      </x:c>
      <x:c r="Q343" s="131" t="str">
        <x:f>IF(A343="","",IF(AND(O343&gt;0,MAX(K343-L343,0)&gt;0,N343&lt;&gt;"Paga"),ROUND(MAX(K343-L343,0)*'Parâmetros'!$B$35*(O343/'Parâmetros'!$B$33),2),0))</x:f>
      </x:c>
      <x:c r="R343" s="131" t="str">
        <x:f>IF(A343="","",IF(O343&gt;0,ROUND(MAX(K343-L343,0)+P343+Q343,2),0))</x:f>
      </x:c>
      <x:c r="S343" s="131" t="str">
        <x:f>IF(A343="","",IF(OR(N343="Paga",O343&gt;0),0,ROUND(IF(K343=0,0,G343*MAX(K343-L343,0)/K343)/(1+'Parâmetros'!$C$13)^((C343-$A$5)/30),2)))</x:f>
      </x:c>
      <x:c r="T343" s="131" t="str">
        <x:f>IF(A343="","",0)</x:f>
      </x:c>
      <x:c r="U343" s="131" t="str">
        <x:f>IF(A343="","",0)</x:f>
      </x:c>
      <x:c r="V343" s="131" t="str">
        <x:f>IF(A343="","",IF(N343="Paga",0,IF(O343&gt;0,R343,S343)))</x:f>
      </x:c>
      <x:c r="W343" s="131" t="str">
        <x:f>IF(A343="","",ROUND(MAX(D343-F343,0),2))</x:f>
      </x:c>
      <x:c r="X343" s="131" t="str">
        <x:f>IF(A343="","",ROUND(SUM($G343:$G$407),2))</x:f>
      </x:c>
      <x:c r="Y343" s="131" t="str">
        <x:f>IF(A343="","",ROUND(MAX(X343-D343,0),2))</x:f>
      </x:c>
      <x:c r="Z343" s="131" t="str">
        <x:f>IF(A343="","",ROUND(SUM($V343:$V$407),2))</x:f>
      </x:c>
      <x:c r="AA343" s="131" t="str">
        <x:f>IF(A343="","",ROUND(SUM($K343:$K$407)-Z343,2))</x:f>
      </x:c>
      <x:c r="AB343" s="77"/>
      <x:c r="AC343" s="36" t="str">
        <x:f>IF(A343="","",IF(O343&gt;0,"Vencido: saldo da fatura + mora",IF(O343&lt;=0,"Vincendo: VP da parcela financeira; comissão/proteção futuras isentas","")))</x:f>
      </x:c>
    </x:row>
    <x:row r="344">
      <x:c r="A344" s="129" t="str">
        <x:f>IF(ROW()-7&lt;=Contrato!$C$16,ROW()-7,"")</x:f>
      </x:c>
      <x:c r="B344" s="129" t="str">
        <x:f>IF(A344="","",Contrato!$C$16)</x:f>
      </x:c>
      <x:c r="C344" s="130" t="str">
        <x:f>IF(A344="","",IF(AB344&lt;&gt;"",AB344,IF(Contrato!$C$14="Mensal",EDATE(Contrato!$C$13,A344-1),Contrato!$C$13+(A344-1)*IF(Contrato!$C$14="Quinzenal",14,IF(Contrato!$C$14="Semanal",7,1)))))</x:f>
      </x:c>
      <x:c r="D344" s="131" t="str">
        <x:f>IF(A344="","",W343)</x:f>
      </x:c>
      <x:c r="E344" s="131" t="str">
        <x:f>IF(A344="","",ROUND(D344*Simulador!$I$18,2))</x:f>
      </x:c>
      <x:c r="F344" s="131" t="str">
        <x:f>IF(A344="","",ROUND(MIN(D344,MAX(G344-E344,0)),2))</x:f>
      </x:c>
      <x:c r="G344" s="131" t="str">
        <x:f>IF(A344="","",IF(A344&lt;Contrato!$C$16,Contrato!$C$27,Contrato!$C$28))</x:f>
      </x:c>
      <x:c r="H344" s="131" t="str">
        <x:f>IF(A344="","",Contrato!$C$29)</x:f>
      </x:c>
      <x:c r="I344" s="131" t="str">
        <x:f>IF(A344="","",Contrato!$C$30)</x:f>
      </x:c>
      <x:c r="J344" s="131" t="str">
        <x:f>IF(A344="","",Contrato!$C$31)</x:f>
      </x:c>
      <x:c r="K344" s="131" t="str">
        <x:f>IF(A344="","",ROUND(SUM(G344:J344),2))</x:f>
      </x:c>
      <x:c r="L344" s="80"/>
      <x:c r="M344" s="77"/>
      <x:c r="N344" s="29" t="str">
        <x:f>IF(A344="","",IF(L344&gt;=K344,"Paga",IF(L344&gt;0,"Paga parcialmente",IF(C344&lt;$A$5,"Vencida","Prevista"))))</x:f>
      </x:c>
      <x:c r="O344" s="29" t="str">
        <x:f>IF(A344="","",$A$5-C344)</x:f>
      </x:c>
      <x:c r="P344" s="131" t="str">
        <x:f>IF(A344="","",IF(AND(O344&gt;0,MAX(K344-L344,0)&gt;0,N344&lt;&gt;"Paga"),ROUND(MAX(K344-L344,0)*'Parâmetros'!$B$34,2),0))</x:f>
      </x:c>
      <x:c r="Q344" s="131" t="str">
        <x:f>IF(A344="","",IF(AND(O344&gt;0,MAX(K344-L344,0)&gt;0,N344&lt;&gt;"Paga"),ROUND(MAX(K344-L344,0)*'Parâmetros'!$B$35*(O344/'Parâmetros'!$B$33),2),0))</x:f>
      </x:c>
      <x:c r="R344" s="131" t="str">
        <x:f>IF(A344="","",IF(O344&gt;0,ROUND(MAX(K344-L344,0)+P344+Q344,2),0))</x:f>
      </x:c>
      <x:c r="S344" s="131" t="str">
        <x:f>IF(A344="","",IF(OR(N344="Paga",O344&gt;0),0,ROUND(IF(K344=0,0,G344*MAX(K344-L344,0)/K344)/(1+'Parâmetros'!$C$13)^((C344-$A$5)/30),2)))</x:f>
      </x:c>
      <x:c r="T344" s="131" t="str">
        <x:f>IF(A344="","",0)</x:f>
      </x:c>
      <x:c r="U344" s="131" t="str">
        <x:f>IF(A344="","",0)</x:f>
      </x:c>
      <x:c r="V344" s="131" t="str">
        <x:f>IF(A344="","",IF(N344="Paga",0,IF(O344&gt;0,R344,S344)))</x:f>
      </x:c>
      <x:c r="W344" s="131" t="str">
        <x:f>IF(A344="","",ROUND(MAX(D344-F344,0),2))</x:f>
      </x:c>
      <x:c r="X344" s="131" t="str">
        <x:f>IF(A344="","",ROUND(SUM($G344:$G$407),2))</x:f>
      </x:c>
      <x:c r="Y344" s="131" t="str">
        <x:f>IF(A344="","",ROUND(MAX(X344-D344,0),2))</x:f>
      </x:c>
      <x:c r="Z344" s="131" t="str">
        <x:f>IF(A344="","",ROUND(SUM($V344:$V$407),2))</x:f>
      </x:c>
      <x:c r="AA344" s="131" t="str">
        <x:f>IF(A344="","",ROUND(SUM($K344:$K$407)-Z344,2))</x:f>
      </x:c>
      <x:c r="AB344" s="77"/>
      <x:c r="AC344" s="36" t="str">
        <x:f>IF(A344="","",IF(O344&gt;0,"Vencido: saldo da fatura + mora",IF(O344&lt;=0,"Vincendo: VP da parcela financeira; comissão/proteção futuras isentas","")))</x:f>
      </x:c>
    </x:row>
    <x:row r="345">
      <x:c r="A345" s="129" t="str">
        <x:f>IF(ROW()-7&lt;=Contrato!$C$16,ROW()-7,"")</x:f>
      </x:c>
      <x:c r="B345" s="129" t="str">
        <x:f>IF(A345="","",Contrato!$C$16)</x:f>
      </x:c>
      <x:c r="C345" s="130" t="str">
        <x:f>IF(A345="","",IF(AB345&lt;&gt;"",AB345,IF(Contrato!$C$14="Mensal",EDATE(Contrato!$C$13,A345-1),Contrato!$C$13+(A345-1)*IF(Contrato!$C$14="Quinzenal",14,IF(Contrato!$C$14="Semanal",7,1)))))</x:f>
      </x:c>
      <x:c r="D345" s="131" t="str">
        <x:f>IF(A345="","",W344)</x:f>
      </x:c>
      <x:c r="E345" s="131" t="str">
        <x:f>IF(A345="","",ROUND(D345*Simulador!$I$18,2))</x:f>
      </x:c>
      <x:c r="F345" s="131" t="str">
        <x:f>IF(A345="","",ROUND(MIN(D345,MAX(G345-E345,0)),2))</x:f>
      </x:c>
      <x:c r="G345" s="131" t="str">
        <x:f>IF(A345="","",IF(A345&lt;Contrato!$C$16,Contrato!$C$27,Contrato!$C$28))</x:f>
      </x:c>
      <x:c r="H345" s="131" t="str">
        <x:f>IF(A345="","",Contrato!$C$29)</x:f>
      </x:c>
      <x:c r="I345" s="131" t="str">
        <x:f>IF(A345="","",Contrato!$C$30)</x:f>
      </x:c>
      <x:c r="J345" s="131" t="str">
        <x:f>IF(A345="","",Contrato!$C$31)</x:f>
      </x:c>
      <x:c r="K345" s="131" t="str">
        <x:f>IF(A345="","",ROUND(SUM(G345:J345),2))</x:f>
      </x:c>
      <x:c r="L345" s="80"/>
      <x:c r="M345" s="77"/>
      <x:c r="N345" s="29" t="str">
        <x:f>IF(A345="","",IF(L345&gt;=K345,"Paga",IF(L345&gt;0,"Paga parcialmente",IF(C345&lt;$A$5,"Vencida","Prevista"))))</x:f>
      </x:c>
      <x:c r="O345" s="29" t="str">
        <x:f>IF(A345="","",$A$5-C345)</x:f>
      </x:c>
      <x:c r="P345" s="131" t="str">
        <x:f>IF(A345="","",IF(AND(O345&gt;0,MAX(K345-L345,0)&gt;0,N345&lt;&gt;"Paga"),ROUND(MAX(K345-L345,0)*'Parâmetros'!$B$34,2),0))</x:f>
      </x:c>
      <x:c r="Q345" s="131" t="str">
        <x:f>IF(A345="","",IF(AND(O345&gt;0,MAX(K345-L345,0)&gt;0,N345&lt;&gt;"Paga"),ROUND(MAX(K345-L345,0)*'Parâmetros'!$B$35*(O345/'Parâmetros'!$B$33),2),0))</x:f>
      </x:c>
      <x:c r="R345" s="131" t="str">
        <x:f>IF(A345="","",IF(O345&gt;0,ROUND(MAX(K345-L345,0)+P345+Q345,2),0))</x:f>
      </x:c>
      <x:c r="S345" s="131" t="str">
        <x:f>IF(A345="","",IF(OR(N345="Paga",O345&gt;0),0,ROUND(IF(K345=0,0,G345*MAX(K345-L345,0)/K345)/(1+'Parâmetros'!$C$13)^((C345-$A$5)/30),2)))</x:f>
      </x:c>
      <x:c r="T345" s="131" t="str">
        <x:f>IF(A345="","",0)</x:f>
      </x:c>
      <x:c r="U345" s="131" t="str">
        <x:f>IF(A345="","",0)</x:f>
      </x:c>
      <x:c r="V345" s="131" t="str">
        <x:f>IF(A345="","",IF(N345="Paga",0,IF(O345&gt;0,R345,S345)))</x:f>
      </x:c>
      <x:c r="W345" s="131" t="str">
        <x:f>IF(A345="","",ROUND(MAX(D345-F345,0),2))</x:f>
      </x:c>
      <x:c r="X345" s="131" t="str">
        <x:f>IF(A345="","",ROUND(SUM($G345:$G$407),2))</x:f>
      </x:c>
      <x:c r="Y345" s="131" t="str">
        <x:f>IF(A345="","",ROUND(MAX(X345-D345,0),2))</x:f>
      </x:c>
      <x:c r="Z345" s="131" t="str">
        <x:f>IF(A345="","",ROUND(SUM($V345:$V$407),2))</x:f>
      </x:c>
      <x:c r="AA345" s="131" t="str">
        <x:f>IF(A345="","",ROUND(SUM($K345:$K$407)-Z345,2))</x:f>
      </x:c>
      <x:c r="AB345" s="77"/>
      <x:c r="AC345" s="36" t="str">
        <x:f>IF(A345="","",IF(O345&gt;0,"Vencido: saldo da fatura + mora",IF(O345&lt;=0,"Vincendo: VP da parcela financeira; comissão/proteção futuras isentas","")))</x:f>
      </x:c>
    </x:row>
    <x:row r="346">
      <x:c r="A346" s="129" t="str">
        <x:f>IF(ROW()-7&lt;=Contrato!$C$16,ROW()-7,"")</x:f>
      </x:c>
      <x:c r="B346" s="129" t="str">
        <x:f>IF(A346="","",Contrato!$C$16)</x:f>
      </x:c>
      <x:c r="C346" s="130" t="str">
        <x:f>IF(A346="","",IF(AB346&lt;&gt;"",AB346,IF(Contrato!$C$14="Mensal",EDATE(Contrato!$C$13,A346-1),Contrato!$C$13+(A346-1)*IF(Contrato!$C$14="Quinzenal",14,IF(Contrato!$C$14="Semanal",7,1)))))</x:f>
      </x:c>
      <x:c r="D346" s="131" t="str">
        <x:f>IF(A346="","",W345)</x:f>
      </x:c>
      <x:c r="E346" s="131" t="str">
        <x:f>IF(A346="","",ROUND(D346*Simulador!$I$18,2))</x:f>
      </x:c>
      <x:c r="F346" s="131" t="str">
        <x:f>IF(A346="","",ROUND(MIN(D346,MAX(G346-E346,0)),2))</x:f>
      </x:c>
      <x:c r="G346" s="131" t="str">
        <x:f>IF(A346="","",IF(A346&lt;Contrato!$C$16,Contrato!$C$27,Contrato!$C$28))</x:f>
      </x:c>
      <x:c r="H346" s="131" t="str">
        <x:f>IF(A346="","",Contrato!$C$29)</x:f>
      </x:c>
      <x:c r="I346" s="131" t="str">
        <x:f>IF(A346="","",Contrato!$C$30)</x:f>
      </x:c>
      <x:c r="J346" s="131" t="str">
        <x:f>IF(A346="","",Contrato!$C$31)</x:f>
      </x:c>
      <x:c r="K346" s="131" t="str">
        <x:f>IF(A346="","",ROUND(SUM(G346:J346),2))</x:f>
      </x:c>
      <x:c r="L346" s="80"/>
      <x:c r="M346" s="77"/>
      <x:c r="N346" s="29" t="str">
        <x:f>IF(A346="","",IF(L346&gt;=K346,"Paga",IF(L346&gt;0,"Paga parcialmente",IF(C346&lt;$A$5,"Vencida","Prevista"))))</x:f>
      </x:c>
      <x:c r="O346" s="29" t="str">
        <x:f>IF(A346="","",$A$5-C346)</x:f>
      </x:c>
      <x:c r="P346" s="131" t="str">
        <x:f>IF(A346="","",IF(AND(O346&gt;0,MAX(K346-L346,0)&gt;0,N346&lt;&gt;"Paga"),ROUND(MAX(K346-L346,0)*'Parâmetros'!$B$34,2),0))</x:f>
      </x:c>
      <x:c r="Q346" s="131" t="str">
        <x:f>IF(A346="","",IF(AND(O346&gt;0,MAX(K346-L346,0)&gt;0,N346&lt;&gt;"Paga"),ROUND(MAX(K346-L346,0)*'Parâmetros'!$B$35*(O346/'Parâmetros'!$B$33),2),0))</x:f>
      </x:c>
      <x:c r="R346" s="131" t="str">
        <x:f>IF(A346="","",IF(O346&gt;0,ROUND(MAX(K346-L346,0)+P346+Q346,2),0))</x:f>
      </x:c>
      <x:c r="S346" s="131" t="str">
        <x:f>IF(A346="","",IF(OR(N346="Paga",O346&gt;0),0,ROUND(IF(K346=0,0,G346*MAX(K346-L346,0)/K346)/(1+'Parâmetros'!$C$13)^((C346-$A$5)/30),2)))</x:f>
      </x:c>
      <x:c r="T346" s="131" t="str">
        <x:f>IF(A346="","",0)</x:f>
      </x:c>
      <x:c r="U346" s="131" t="str">
        <x:f>IF(A346="","",0)</x:f>
      </x:c>
      <x:c r="V346" s="131" t="str">
        <x:f>IF(A346="","",IF(N346="Paga",0,IF(O346&gt;0,R346,S346)))</x:f>
      </x:c>
      <x:c r="W346" s="131" t="str">
        <x:f>IF(A346="","",ROUND(MAX(D346-F346,0),2))</x:f>
      </x:c>
      <x:c r="X346" s="131" t="str">
        <x:f>IF(A346="","",ROUND(SUM($G346:$G$407),2))</x:f>
      </x:c>
      <x:c r="Y346" s="131" t="str">
        <x:f>IF(A346="","",ROUND(MAX(X346-D346,0),2))</x:f>
      </x:c>
      <x:c r="Z346" s="131" t="str">
        <x:f>IF(A346="","",ROUND(SUM($V346:$V$407),2))</x:f>
      </x:c>
      <x:c r="AA346" s="131" t="str">
        <x:f>IF(A346="","",ROUND(SUM($K346:$K$407)-Z346,2))</x:f>
      </x:c>
      <x:c r="AB346" s="77"/>
      <x:c r="AC346" s="36" t="str">
        <x:f>IF(A346="","",IF(O346&gt;0,"Vencido: saldo da fatura + mora",IF(O346&lt;=0,"Vincendo: VP da parcela financeira; comissão/proteção futuras isentas","")))</x:f>
      </x:c>
    </x:row>
    <x:row r="347">
      <x:c r="A347" s="129" t="str">
        <x:f>IF(ROW()-7&lt;=Contrato!$C$16,ROW()-7,"")</x:f>
      </x:c>
      <x:c r="B347" s="129" t="str">
        <x:f>IF(A347="","",Contrato!$C$16)</x:f>
      </x:c>
      <x:c r="C347" s="130" t="str">
        <x:f>IF(A347="","",IF(AB347&lt;&gt;"",AB347,IF(Contrato!$C$14="Mensal",EDATE(Contrato!$C$13,A347-1),Contrato!$C$13+(A347-1)*IF(Contrato!$C$14="Quinzenal",14,IF(Contrato!$C$14="Semanal",7,1)))))</x:f>
      </x:c>
      <x:c r="D347" s="131" t="str">
        <x:f>IF(A347="","",W346)</x:f>
      </x:c>
      <x:c r="E347" s="131" t="str">
        <x:f>IF(A347="","",ROUND(D347*Simulador!$I$18,2))</x:f>
      </x:c>
      <x:c r="F347" s="131" t="str">
        <x:f>IF(A347="","",ROUND(MIN(D347,MAX(G347-E347,0)),2))</x:f>
      </x:c>
      <x:c r="G347" s="131" t="str">
        <x:f>IF(A347="","",IF(A347&lt;Contrato!$C$16,Contrato!$C$27,Contrato!$C$28))</x:f>
      </x:c>
      <x:c r="H347" s="131" t="str">
        <x:f>IF(A347="","",Contrato!$C$29)</x:f>
      </x:c>
      <x:c r="I347" s="131" t="str">
        <x:f>IF(A347="","",Contrato!$C$30)</x:f>
      </x:c>
      <x:c r="J347" s="131" t="str">
        <x:f>IF(A347="","",Contrato!$C$31)</x:f>
      </x:c>
      <x:c r="K347" s="131" t="str">
        <x:f>IF(A347="","",ROUND(SUM(G347:J347),2))</x:f>
      </x:c>
      <x:c r="L347" s="80"/>
      <x:c r="M347" s="77"/>
      <x:c r="N347" s="29" t="str">
        <x:f>IF(A347="","",IF(L347&gt;=K347,"Paga",IF(L347&gt;0,"Paga parcialmente",IF(C347&lt;$A$5,"Vencida","Prevista"))))</x:f>
      </x:c>
      <x:c r="O347" s="29" t="str">
        <x:f>IF(A347="","",$A$5-C347)</x:f>
      </x:c>
      <x:c r="P347" s="131" t="str">
        <x:f>IF(A347="","",IF(AND(O347&gt;0,MAX(K347-L347,0)&gt;0,N347&lt;&gt;"Paga"),ROUND(MAX(K347-L347,0)*'Parâmetros'!$B$34,2),0))</x:f>
      </x:c>
      <x:c r="Q347" s="131" t="str">
        <x:f>IF(A347="","",IF(AND(O347&gt;0,MAX(K347-L347,0)&gt;0,N347&lt;&gt;"Paga"),ROUND(MAX(K347-L347,0)*'Parâmetros'!$B$35*(O347/'Parâmetros'!$B$33),2),0))</x:f>
      </x:c>
      <x:c r="R347" s="131" t="str">
        <x:f>IF(A347="","",IF(O347&gt;0,ROUND(MAX(K347-L347,0)+P347+Q347,2),0))</x:f>
      </x:c>
      <x:c r="S347" s="131" t="str">
        <x:f>IF(A347="","",IF(OR(N347="Paga",O347&gt;0),0,ROUND(IF(K347=0,0,G347*MAX(K347-L347,0)/K347)/(1+'Parâmetros'!$C$13)^((C347-$A$5)/30),2)))</x:f>
      </x:c>
      <x:c r="T347" s="131" t="str">
        <x:f>IF(A347="","",0)</x:f>
      </x:c>
      <x:c r="U347" s="131" t="str">
        <x:f>IF(A347="","",0)</x:f>
      </x:c>
      <x:c r="V347" s="131" t="str">
        <x:f>IF(A347="","",IF(N347="Paga",0,IF(O347&gt;0,R347,S347)))</x:f>
      </x:c>
      <x:c r="W347" s="131" t="str">
        <x:f>IF(A347="","",ROUND(MAX(D347-F347,0),2))</x:f>
      </x:c>
      <x:c r="X347" s="131" t="str">
        <x:f>IF(A347="","",ROUND(SUM($G347:$G$407),2))</x:f>
      </x:c>
      <x:c r="Y347" s="131" t="str">
        <x:f>IF(A347="","",ROUND(MAX(X347-D347,0),2))</x:f>
      </x:c>
      <x:c r="Z347" s="131" t="str">
        <x:f>IF(A347="","",ROUND(SUM($V347:$V$407),2))</x:f>
      </x:c>
      <x:c r="AA347" s="131" t="str">
        <x:f>IF(A347="","",ROUND(SUM($K347:$K$407)-Z347,2))</x:f>
      </x:c>
      <x:c r="AB347" s="77"/>
      <x:c r="AC347" s="36" t="str">
        <x:f>IF(A347="","",IF(O347&gt;0,"Vencido: saldo da fatura + mora",IF(O347&lt;=0,"Vincendo: VP da parcela financeira; comissão/proteção futuras isentas","")))</x:f>
      </x:c>
    </x:row>
    <x:row r="348">
      <x:c r="A348" s="129" t="str">
        <x:f>IF(ROW()-7&lt;=Contrato!$C$16,ROW()-7,"")</x:f>
      </x:c>
      <x:c r="B348" s="129" t="str">
        <x:f>IF(A348="","",Contrato!$C$16)</x:f>
      </x:c>
      <x:c r="C348" s="130" t="str">
        <x:f>IF(A348="","",IF(AB348&lt;&gt;"",AB348,IF(Contrato!$C$14="Mensal",EDATE(Contrato!$C$13,A348-1),Contrato!$C$13+(A348-1)*IF(Contrato!$C$14="Quinzenal",14,IF(Contrato!$C$14="Semanal",7,1)))))</x:f>
      </x:c>
      <x:c r="D348" s="131" t="str">
        <x:f>IF(A348="","",W347)</x:f>
      </x:c>
      <x:c r="E348" s="131" t="str">
        <x:f>IF(A348="","",ROUND(D348*Simulador!$I$18,2))</x:f>
      </x:c>
      <x:c r="F348" s="131" t="str">
        <x:f>IF(A348="","",ROUND(MIN(D348,MAX(G348-E348,0)),2))</x:f>
      </x:c>
      <x:c r="G348" s="131" t="str">
        <x:f>IF(A348="","",IF(A348&lt;Contrato!$C$16,Contrato!$C$27,Contrato!$C$28))</x:f>
      </x:c>
      <x:c r="H348" s="131" t="str">
        <x:f>IF(A348="","",Contrato!$C$29)</x:f>
      </x:c>
      <x:c r="I348" s="131" t="str">
        <x:f>IF(A348="","",Contrato!$C$30)</x:f>
      </x:c>
      <x:c r="J348" s="131" t="str">
        <x:f>IF(A348="","",Contrato!$C$31)</x:f>
      </x:c>
      <x:c r="K348" s="131" t="str">
        <x:f>IF(A348="","",ROUND(SUM(G348:J348),2))</x:f>
      </x:c>
      <x:c r="L348" s="80"/>
      <x:c r="M348" s="77"/>
      <x:c r="N348" s="29" t="str">
        <x:f>IF(A348="","",IF(L348&gt;=K348,"Paga",IF(L348&gt;0,"Paga parcialmente",IF(C348&lt;$A$5,"Vencida","Prevista"))))</x:f>
      </x:c>
      <x:c r="O348" s="29" t="str">
        <x:f>IF(A348="","",$A$5-C348)</x:f>
      </x:c>
      <x:c r="P348" s="131" t="str">
        <x:f>IF(A348="","",IF(AND(O348&gt;0,MAX(K348-L348,0)&gt;0,N348&lt;&gt;"Paga"),ROUND(MAX(K348-L348,0)*'Parâmetros'!$B$34,2),0))</x:f>
      </x:c>
      <x:c r="Q348" s="131" t="str">
        <x:f>IF(A348="","",IF(AND(O348&gt;0,MAX(K348-L348,0)&gt;0,N348&lt;&gt;"Paga"),ROUND(MAX(K348-L348,0)*'Parâmetros'!$B$35*(O348/'Parâmetros'!$B$33),2),0))</x:f>
      </x:c>
      <x:c r="R348" s="131" t="str">
        <x:f>IF(A348="","",IF(O348&gt;0,ROUND(MAX(K348-L348,0)+P348+Q348,2),0))</x:f>
      </x:c>
      <x:c r="S348" s="131" t="str">
        <x:f>IF(A348="","",IF(OR(N348="Paga",O348&gt;0),0,ROUND(IF(K348=0,0,G348*MAX(K348-L348,0)/K348)/(1+'Parâmetros'!$C$13)^((C348-$A$5)/30),2)))</x:f>
      </x:c>
      <x:c r="T348" s="131" t="str">
        <x:f>IF(A348="","",0)</x:f>
      </x:c>
      <x:c r="U348" s="131" t="str">
        <x:f>IF(A348="","",0)</x:f>
      </x:c>
      <x:c r="V348" s="131" t="str">
        <x:f>IF(A348="","",IF(N348="Paga",0,IF(O348&gt;0,R348,S348)))</x:f>
      </x:c>
      <x:c r="W348" s="131" t="str">
        <x:f>IF(A348="","",ROUND(MAX(D348-F348,0),2))</x:f>
      </x:c>
      <x:c r="X348" s="131" t="str">
        <x:f>IF(A348="","",ROUND(SUM($G348:$G$407),2))</x:f>
      </x:c>
      <x:c r="Y348" s="131" t="str">
        <x:f>IF(A348="","",ROUND(MAX(X348-D348,0),2))</x:f>
      </x:c>
      <x:c r="Z348" s="131" t="str">
        <x:f>IF(A348="","",ROUND(SUM($V348:$V$407),2))</x:f>
      </x:c>
      <x:c r="AA348" s="131" t="str">
        <x:f>IF(A348="","",ROUND(SUM($K348:$K$407)-Z348,2))</x:f>
      </x:c>
      <x:c r="AB348" s="77"/>
      <x:c r="AC348" s="36" t="str">
        <x:f>IF(A348="","",IF(O348&gt;0,"Vencido: saldo da fatura + mora",IF(O348&lt;=0,"Vincendo: VP da parcela financeira; comissão/proteção futuras isentas","")))</x:f>
      </x:c>
    </x:row>
    <x:row r="349">
      <x:c r="A349" s="129" t="str">
        <x:f>IF(ROW()-7&lt;=Contrato!$C$16,ROW()-7,"")</x:f>
      </x:c>
      <x:c r="B349" s="129" t="str">
        <x:f>IF(A349="","",Contrato!$C$16)</x:f>
      </x:c>
      <x:c r="C349" s="130" t="str">
        <x:f>IF(A349="","",IF(AB349&lt;&gt;"",AB349,IF(Contrato!$C$14="Mensal",EDATE(Contrato!$C$13,A349-1),Contrato!$C$13+(A349-1)*IF(Contrato!$C$14="Quinzenal",14,IF(Contrato!$C$14="Semanal",7,1)))))</x:f>
      </x:c>
      <x:c r="D349" s="131" t="str">
        <x:f>IF(A349="","",W348)</x:f>
      </x:c>
      <x:c r="E349" s="131" t="str">
        <x:f>IF(A349="","",ROUND(D349*Simulador!$I$18,2))</x:f>
      </x:c>
      <x:c r="F349" s="131" t="str">
        <x:f>IF(A349="","",ROUND(MIN(D349,MAX(G349-E349,0)),2))</x:f>
      </x:c>
      <x:c r="G349" s="131" t="str">
        <x:f>IF(A349="","",IF(A349&lt;Contrato!$C$16,Contrato!$C$27,Contrato!$C$28))</x:f>
      </x:c>
      <x:c r="H349" s="131" t="str">
        <x:f>IF(A349="","",Contrato!$C$29)</x:f>
      </x:c>
      <x:c r="I349" s="131" t="str">
        <x:f>IF(A349="","",Contrato!$C$30)</x:f>
      </x:c>
      <x:c r="J349" s="131" t="str">
        <x:f>IF(A349="","",Contrato!$C$31)</x:f>
      </x:c>
      <x:c r="K349" s="131" t="str">
        <x:f>IF(A349="","",ROUND(SUM(G349:J349),2))</x:f>
      </x:c>
      <x:c r="L349" s="80"/>
      <x:c r="M349" s="77"/>
      <x:c r="N349" s="29" t="str">
        <x:f>IF(A349="","",IF(L349&gt;=K349,"Paga",IF(L349&gt;0,"Paga parcialmente",IF(C349&lt;$A$5,"Vencida","Prevista"))))</x:f>
      </x:c>
      <x:c r="O349" s="29" t="str">
        <x:f>IF(A349="","",$A$5-C349)</x:f>
      </x:c>
      <x:c r="P349" s="131" t="str">
        <x:f>IF(A349="","",IF(AND(O349&gt;0,MAX(K349-L349,0)&gt;0,N349&lt;&gt;"Paga"),ROUND(MAX(K349-L349,0)*'Parâmetros'!$B$34,2),0))</x:f>
      </x:c>
      <x:c r="Q349" s="131" t="str">
        <x:f>IF(A349="","",IF(AND(O349&gt;0,MAX(K349-L349,0)&gt;0,N349&lt;&gt;"Paga"),ROUND(MAX(K349-L349,0)*'Parâmetros'!$B$35*(O349/'Parâmetros'!$B$33),2),0))</x:f>
      </x:c>
      <x:c r="R349" s="131" t="str">
        <x:f>IF(A349="","",IF(O349&gt;0,ROUND(MAX(K349-L349,0)+P349+Q349,2),0))</x:f>
      </x:c>
      <x:c r="S349" s="131" t="str">
        <x:f>IF(A349="","",IF(OR(N349="Paga",O349&gt;0),0,ROUND(IF(K349=0,0,G349*MAX(K349-L349,0)/K349)/(1+'Parâmetros'!$C$13)^((C349-$A$5)/30),2)))</x:f>
      </x:c>
      <x:c r="T349" s="131" t="str">
        <x:f>IF(A349="","",0)</x:f>
      </x:c>
      <x:c r="U349" s="131" t="str">
        <x:f>IF(A349="","",0)</x:f>
      </x:c>
      <x:c r="V349" s="131" t="str">
        <x:f>IF(A349="","",IF(N349="Paga",0,IF(O349&gt;0,R349,S349)))</x:f>
      </x:c>
      <x:c r="W349" s="131" t="str">
        <x:f>IF(A349="","",ROUND(MAX(D349-F349,0),2))</x:f>
      </x:c>
      <x:c r="X349" s="131" t="str">
        <x:f>IF(A349="","",ROUND(SUM($G349:$G$407),2))</x:f>
      </x:c>
      <x:c r="Y349" s="131" t="str">
        <x:f>IF(A349="","",ROUND(MAX(X349-D349,0),2))</x:f>
      </x:c>
      <x:c r="Z349" s="131" t="str">
        <x:f>IF(A349="","",ROUND(SUM($V349:$V$407),2))</x:f>
      </x:c>
      <x:c r="AA349" s="131" t="str">
        <x:f>IF(A349="","",ROUND(SUM($K349:$K$407)-Z349,2))</x:f>
      </x:c>
      <x:c r="AB349" s="77"/>
      <x:c r="AC349" s="36" t="str">
        <x:f>IF(A349="","",IF(O349&gt;0,"Vencido: saldo da fatura + mora",IF(O349&lt;=0,"Vincendo: VP da parcela financeira; comissão/proteção futuras isentas","")))</x:f>
      </x:c>
    </x:row>
    <x:row r="350">
      <x:c r="A350" s="129" t="str">
        <x:f>IF(ROW()-7&lt;=Contrato!$C$16,ROW()-7,"")</x:f>
      </x:c>
      <x:c r="B350" s="129" t="str">
        <x:f>IF(A350="","",Contrato!$C$16)</x:f>
      </x:c>
      <x:c r="C350" s="130" t="str">
        <x:f>IF(A350="","",IF(AB350&lt;&gt;"",AB350,IF(Contrato!$C$14="Mensal",EDATE(Contrato!$C$13,A350-1),Contrato!$C$13+(A350-1)*IF(Contrato!$C$14="Quinzenal",14,IF(Contrato!$C$14="Semanal",7,1)))))</x:f>
      </x:c>
      <x:c r="D350" s="131" t="str">
        <x:f>IF(A350="","",W349)</x:f>
      </x:c>
      <x:c r="E350" s="131" t="str">
        <x:f>IF(A350="","",ROUND(D350*Simulador!$I$18,2))</x:f>
      </x:c>
      <x:c r="F350" s="131" t="str">
        <x:f>IF(A350="","",ROUND(MIN(D350,MAX(G350-E350,0)),2))</x:f>
      </x:c>
      <x:c r="G350" s="131" t="str">
        <x:f>IF(A350="","",IF(A350&lt;Contrato!$C$16,Contrato!$C$27,Contrato!$C$28))</x:f>
      </x:c>
      <x:c r="H350" s="131" t="str">
        <x:f>IF(A350="","",Contrato!$C$29)</x:f>
      </x:c>
      <x:c r="I350" s="131" t="str">
        <x:f>IF(A350="","",Contrato!$C$30)</x:f>
      </x:c>
      <x:c r="J350" s="131" t="str">
        <x:f>IF(A350="","",Contrato!$C$31)</x:f>
      </x:c>
      <x:c r="K350" s="131" t="str">
        <x:f>IF(A350="","",ROUND(SUM(G350:J350),2))</x:f>
      </x:c>
      <x:c r="L350" s="80"/>
      <x:c r="M350" s="77"/>
      <x:c r="N350" s="29" t="str">
        <x:f>IF(A350="","",IF(L350&gt;=K350,"Paga",IF(L350&gt;0,"Paga parcialmente",IF(C350&lt;$A$5,"Vencida","Prevista"))))</x:f>
      </x:c>
      <x:c r="O350" s="29" t="str">
        <x:f>IF(A350="","",$A$5-C350)</x:f>
      </x:c>
      <x:c r="P350" s="131" t="str">
        <x:f>IF(A350="","",IF(AND(O350&gt;0,MAX(K350-L350,0)&gt;0,N350&lt;&gt;"Paga"),ROUND(MAX(K350-L350,0)*'Parâmetros'!$B$34,2),0))</x:f>
      </x:c>
      <x:c r="Q350" s="131" t="str">
        <x:f>IF(A350="","",IF(AND(O350&gt;0,MAX(K350-L350,0)&gt;0,N350&lt;&gt;"Paga"),ROUND(MAX(K350-L350,0)*'Parâmetros'!$B$35*(O350/'Parâmetros'!$B$33),2),0))</x:f>
      </x:c>
      <x:c r="R350" s="131" t="str">
        <x:f>IF(A350="","",IF(O350&gt;0,ROUND(MAX(K350-L350,0)+P350+Q350,2),0))</x:f>
      </x:c>
      <x:c r="S350" s="131" t="str">
        <x:f>IF(A350="","",IF(OR(N350="Paga",O350&gt;0),0,ROUND(IF(K350=0,0,G350*MAX(K350-L350,0)/K350)/(1+'Parâmetros'!$C$13)^((C350-$A$5)/30),2)))</x:f>
      </x:c>
      <x:c r="T350" s="131" t="str">
        <x:f>IF(A350="","",0)</x:f>
      </x:c>
      <x:c r="U350" s="131" t="str">
        <x:f>IF(A350="","",0)</x:f>
      </x:c>
      <x:c r="V350" s="131" t="str">
        <x:f>IF(A350="","",IF(N350="Paga",0,IF(O350&gt;0,R350,S350)))</x:f>
      </x:c>
      <x:c r="W350" s="131" t="str">
        <x:f>IF(A350="","",ROUND(MAX(D350-F350,0),2))</x:f>
      </x:c>
      <x:c r="X350" s="131" t="str">
        <x:f>IF(A350="","",ROUND(SUM($G350:$G$407),2))</x:f>
      </x:c>
      <x:c r="Y350" s="131" t="str">
        <x:f>IF(A350="","",ROUND(MAX(X350-D350,0),2))</x:f>
      </x:c>
      <x:c r="Z350" s="131" t="str">
        <x:f>IF(A350="","",ROUND(SUM($V350:$V$407),2))</x:f>
      </x:c>
      <x:c r="AA350" s="131" t="str">
        <x:f>IF(A350="","",ROUND(SUM($K350:$K$407)-Z350,2))</x:f>
      </x:c>
      <x:c r="AB350" s="77"/>
      <x:c r="AC350" s="36" t="str">
        <x:f>IF(A350="","",IF(O350&gt;0,"Vencido: saldo da fatura + mora",IF(O350&lt;=0,"Vincendo: VP da parcela financeira; comissão/proteção futuras isentas","")))</x:f>
      </x:c>
    </x:row>
    <x:row r="351">
      <x:c r="A351" s="129" t="str">
        <x:f>IF(ROW()-7&lt;=Contrato!$C$16,ROW()-7,"")</x:f>
      </x:c>
      <x:c r="B351" s="129" t="str">
        <x:f>IF(A351="","",Contrato!$C$16)</x:f>
      </x:c>
      <x:c r="C351" s="130" t="str">
        <x:f>IF(A351="","",IF(AB351&lt;&gt;"",AB351,IF(Contrato!$C$14="Mensal",EDATE(Contrato!$C$13,A351-1),Contrato!$C$13+(A351-1)*IF(Contrato!$C$14="Quinzenal",14,IF(Contrato!$C$14="Semanal",7,1)))))</x:f>
      </x:c>
      <x:c r="D351" s="131" t="str">
        <x:f>IF(A351="","",W350)</x:f>
      </x:c>
      <x:c r="E351" s="131" t="str">
        <x:f>IF(A351="","",ROUND(D351*Simulador!$I$18,2))</x:f>
      </x:c>
      <x:c r="F351" s="131" t="str">
        <x:f>IF(A351="","",ROUND(MIN(D351,MAX(G351-E351,0)),2))</x:f>
      </x:c>
      <x:c r="G351" s="131" t="str">
        <x:f>IF(A351="","",IF(A351&lt;Contrato!$C$16,Contrato!$C$27,Contrato!$C$28))</x:f>
      </x:c>
      <x:c r="H351" s="131" t="str">
        <x:f>IF(A351="","",Contrato!$C$29)</x:f>
      </x:c>
      <x:c r="I351" s="131" t="str">
        <x:f>IF(A351="","",Contrato!$C$30)</x:f>
      </x:c>
      <x:c r="J351" s="131" t="str">
        <x:f>IF(A351="","",Contrato!$C$31)</x:f>
      </x:c>
      <x:c r="K351" s="131" t="str">
        <x:f>IF(A351="","",ROUND(SUM(G351:J351),2))</x:f>
      </x:c>
      <x:c r="L351" s="80"/>
      <x:c r="M351" s="77"/>
      <x:c r="N351" s="29" t="str">
        <x:f>IF(A351="","",IF(L351&gt;=K351,"Paga",IF(L351&gt;0,"Paga parcialmente",IF(C351&lt;$A$5,"Vencida","Prevista"))))</x:f>
      </x:c>
      <x:c r="O351" s="29" t="str">
        <x:f>IF(A351="","",$A$5-C351)</x:f>
      </x:c>
      <x:c r="P351" s="131" t="str">
        <x:f>IF(A351="","",IF(AND(O351&gt;0,MAX(K351-L351,0)&gt;0,N351&lt;&gt;"Paga"),ROUND(MAX(K351-L351,0)*'Parâmetros'!$B$34,2),0))</x:f>
      </x:c>
      <x:c r="Q351" s="131" t="str">
        <x:f>IF(A351="","",IF(AND(O351&gt;0,MAX(K351-L351,0)&gt;0,N351&lt;&gt;"Paga"),ROUND(MAX(K351-L351,0)*'Parâmetros'!$B$35*(O351/'Parâmetros'!$B$33),2),0))</x:f>
      </x:c>
      <x:c r="R351" s="131" t="str">
        <x:f>IF(A351="","",IF(O351&gt;0,ROUND(MAX(K351-L351,0)+P351+Q351,2),0))</x:f>
      </x:c>
      <x:c r="S351" s="131" t="str">
        <x:f>IF(A351="","",IF(OR(N351="Paga",O351&gt;0),0,ROUND(IF(K351=0,0,G351*MAX(K351-L351,0)/K351)/(1+'Parâmetros'!$C$13)^((C351-$A$5)/30),2)))</x:f>
      </x:c>
      <x:c r="T351" s="131" t="str">
        <x:f>IF(A351="","",0)</x:f>
      </x:c>
      <x:c r="U351" s="131" t="str">
        <x:f>IF(A351="","",0)</x:f>
      </x:c>
      <x:c r="V351" s="131" t="str">
        <x:f>IF(A351="","",IF(N351="Paga",0,IF(O351&gt;0,R351,S351)))</x:f>
      </x:c>
      <x:c r="W351" s="131" t="str">
        <x:f>IF(A351="","",ROUND(MAX(D351-F351,0),2))</x:f>
      </x:c>
      <x:c r="X351" s="131" t="str">
        <x:f>IF(A351="","",ROUND(SUM($G351:$G$407),2))</x:f>
      </x:c>
      <x:c r="Y351" s="131" t="str">
        <x:f>IF(A351="","",ROUND(MAX(X351-D351,0),2))</x:f>
      </x:c>
      <x:c r="Z351" s="131" t="str">
        <x:f>IF(A351="","",ROUND(SUM($V351:$V$407),2))</x:f>
      </x:c>
      <x:c r="AA351" s="131" t="str">
        <x:f>IF(A351="","",ROUND(SUM($K351:$K$407)-Z351,2))</x:f>
      </x:c>
      <x:c r="AB351" s="77"/>
      <x:c r="AC351" s="36" t="str">
        <x:f>IF(A351="","",IF(O351&gt;0,"Vencido: saldo da fatura + mora",IF(O351&lt;=0,"Vincendo: VP da parcela financeira; comissão/proteção futuras isentas","")))</x:f>
      </x:c>
    </x:row>
    <x:row r="352">
      <x:c r="A352" s="129" t="str">
        <x:f>IF(ROW()-7&lt;=Contrato!$C$16,ROW()-7,"")</x:f>
      </x:c>
      <x:c r="B352" s="129" t="str">
        <x:f>IF(A352="","",Contrato!$C$16)</x:f>
      </x:c>
      <x:c r="C352" s="130" t="str">
        <x:f>IF(A352="","",IF(AB352&lt;&gt;"",AB352,IF(Contrato!$C$14="Mensal",EDATE(Contrato!$C$13,A352-1),Contrato!$C$13+(A352-1)*IF(Contrato!$C$14="Quinzenal",14,IF(Contrato!$C$14="Semanal",7,1)))))</x:f>
      </x:c>
      <x:c r="D352" s="131" t="str">
        <x:f>IF(A352="","",W351)</x:f>
      </x:c>
      <x:c r="E352" s="131" t="str">
        <x:f>IF(A352="","",ROUND(D352*Simulador!$I$18,2))</x:f>
      </x:c>
      <x:c r="F352" s="131" t="str">
        <x:f>IF(A352="","",ROUND(MIN(D352,MAX(G352-E352,0)),2))</x:f>
      </x:c>
      <x:c r="G352" s="131" t="str">
        <x:f>IF(A352="","",IF(A352&lt;Contrato!$C$16,Contrato!$C$27,Contrato!$C$28))</x:f>
      </x:c>
      <x:c r="H352" s="131" t="str">
        <x:f>IF(A352="","",Contrato!$C$29)</x:f>
      </x:c>
      <x:c r="I352" s="131" t="str">
        <x:f>IF(A352="","",Contrato!$C$30)</x:f>
      </x:c>
      <x:c r="J352" s="131" t="str">
        <x:f>IF(A352="","",Contrato!$C$31)</x:f>
      </x:c>
      <x:c r="K352" s="131" t="str">
        <x:f>IF(A352="","",ROUND(SUM(G352:J352),2))</x:f>
      </x:c>
      <x:c r="L352" s="80"/>
      <x:c r="M352" s="77"/>
      <x:c r="N352" s="29" t="str">
        <x:f>IF(A352="","",IF(L352&gt;=K352,"Paga",IF(L352&gt;0,"Paga parcialmente",IF(C352&lt;$A$5,"Vencida","Prevista"))))</x:f>
      </x:c>
      <x:c r="O352" s="29" t="str">
        <x:f>IF(A352="","",$A$5-C352)</x:f>
      </x:c>
      <x:c r="P352" s="131" t="str">
        <x:f>IF(A352="","",IF(AND(O352&gt;0,MAX(K352-L352,0)&gt;0,N352&lt;&gt;"Paga"),ROUND(MAX(K352-L352,0)*'Parâmetros'!$B$34,2),0))</x:f>
      </x:c>
      <x:c r="Q352" s="131" t="str">
        <x:f>IF(A352="","",IF(AND(O352&gt;0,MAX(K352-L352,0)&gt;0,N352&lt;&gt;"Paga"),ROUND(MAX(K352-L352,0)*'Parâmetros'!$B$35*(O352/'Parâmetros'!$B$33),2),0))</x:f>
      </x:c>
      <x:c r="R352" s="131" t="str">
        <x:f>IF(A352="","",IF(O352&gt;0,ROUND(MAX(K352-L352,0)+P352+Q352,2),0))</x:f>
      </x:c>
      <x:c r="S352" s="131" t="str">
        <x:f>IF(A352="","",IF(OR(N352="Paga",O352&gt;0),0,ROUND(IF(K352=0,0,G352*MAX(K352-L352,0)/K352)/(1+'Parâmetros'!$C$13)^((C352-$A$5)/30),2)))</x:f>
      </x:c>
      <x:c r="T352" s="131" t="str">
        <x:f>IF(A352="","",0)</x:f>
      </x:c>
      <x:c r="U352" s="131" t="str">
        <x:f>IF(A352="","",0)</x:f>
      </x:c>
      <x:c r="V352" s="131" t="str">
        <x:f>IF(A352="","",IF(N352="Paga",0,IF(O352&gt;0,R352,S352)))</x:f>
      </x:c>
      <x:c r="W352" s="131" t="str">
        <x:f>IF(A352="","",ROUND(MAX(D352-F352,0),2))</x:f>
      </x:c>
      <x:c r="X352" s="131" t="str">
        <x:f>IF(A352="","",ROUND(SUM($G352:$G$407),2))</x:f>
      </x:c>
      <x:c r="Y352" s="131" t="str">
        <x:f>IF(A352="","",ROUND(MAX(X352-D352,0),2))</x:f>
      </x:c>
      <x:c r="Z352" s="131" t="str">
        <x:f>IF(A352="","",ROUND(SUM($V352:$V$407),2))</x:f>
      </x:c>
      <x:c r="AA352" s="131" t="str">
        <x:f>IF(A352="","",ROUND(SUM($K352:$K$407)-Z352,2))</x:f>
      </x:c>
      <x:c r="AB352" s="77"/>
      <x:c r="AC352" s="36" t="str">
        <x:f>IF(A352="","",IF(O352&gt;0,"Vencido: saldo da fatura + mora",IF(O352&lt;=0,"Vincendo: VP da parcela financeira; comissão/proteção futuras isentas","")))</x:f>
      </x:c>
    </x:row>
    <x:row r="353">
      <x:c r="A353" s="129" t="str">
        <x:f>IF(ROW()-7&lt;=Contrato!$C$16,ROW()-7,"")</x:f>
      </x:c>
      <x:c r="B353" s="129" t="str">
        <x:f>IF(A353="","",Contrato!$C$16)</x:f>
      </x:c>
      <x:c r="C353" s="130" t="str">
        <x:f>IF(A353="","",IF(AB353&lt;&gt;"",AB353,IF(Contrato!$C$14="Mensal",EDATE(Contrato!$C$13,A353-1),Contrato!$C$13+(A353-1)*IF(Contrato!$C$14="Quinzenal",14,IF(Contrato!$C$14="Semanal",7,1)))))</x:f>
      </x:c>
      <x:c r="D353" s="131" t="str">
        <x:f>IF(A353="","",W352)</x:f>
      </x:c>
      <x:c r="E353" s="131" t="str">
        <x:f>IF(A353="","",ROUND(D353*Simulador!$I$18,2))</x:f>
      </x:c>
      <x:c r="F353" s="131" t="str">
        <x:f>IF(A353="","",ROUND(MIN(D353,MAX(G353-E353,0)),2))</x:f>
      </x:c>
      <x:c r="G353" s="131" t="str">
        <x:f>IF(A353="","",IF(A353&lt;Contrato!$C$16,Contrato!$C$27,Contrato!$C$28))</x:f>
      </x:c>
      <x:c r="H353" s="131" t="str">
        <x:f>IF(A353="","",Contrato!$C$29)</x:f>
      </x:c>
      <x:c r="I353" s="131" t="str">
        <x:f>IF(A353="","",Contrato!$C$30)</x:f>
      </x:c>
      <x:c r="J353" s="131" t="str">
        <x:f>IF(A353="","",Contrato!$C$31)</x:f>
      </x:c>
      <x:c r="K353" s="131" t="str">
        <x:f>IF(A353="","",ROUND(SUM(G353:J353),2))</x:f>
      </x:c>
      <x:c r="L353" s="80"/>
      <x:c r="M353" s="77"/>
      <x:c r="N353" s="29" t="str">
        <x:f>IF(A353="","",IF(L353&gt;=K353,"Paga",IF(L353&gt;0,"Paga parcialmente",IF(C353&lt;$A$5,"Vencida","Prevista"))))</x:f>
      </x:c>
      <x:c r="O353" s="29" t="str">
        <x:f>IF(A353="","",$A$5-C353)</x:f>
      </x:c>
      <x:c r="P353" s="131" t="str">
        <x:f>IF(A353="","",IF(AND(O353&gt;0,MAX(K353-L353,0)&gt;0,N353&lt;&gt;"Paga"),ROUND(MAX(K353-L353,0)*'Parâmetros'!$B$34,2),0))</x:f>
      </x:c>
      <x:c r="Q353" s="131" t="str">
        <x:f>IF(A353="","",IF(AND(O353&gt;0,MAX(K353-L353,0)&gt;0,N353&lt;&gt;"Paga"),ROUND(MAX(K353-L353,0)*'Parâmetros'!$B$35*(O353/'Parâmetros'!$B$33),2),0))</x:f>
      </x:c>
      <x:c r="R353" s="131" t="str">
        <x:f>IF(A353="","",IF(O353&gt;0,ROUND(MAX(K353-L353,0)+P353+Q353,2),0))</x:f>
      </x:c>
      <x:c r="S353" s="131" t="str">
        <x:f>IF(A353="","",IF(OR(N353="Paga",O353&gt;0),0,ROUND(IF(K353=0,0,G353*MAX(K353-L353,0)/K353)/(1+'Parâmetros'!$C$13)^((C353-$A$5)/30),2)))</x:f>
      </x:c>
      <x:c r="T353" s="131" t="str">
        <x:f>IF(A353="","",0)</x:f>
      </x:c>
      <x:c r="U353" s="131" t="str">
        <x:f>IF(A353="","",0)</x:f>
      </x:c>
      <x:c r="V353" s="131" t="str">
        <x:f>IF(A353="","",IF(N353="Paga",0,IF(O353&gt;0,R353,S353)))</x:f>
      </x:c>
      <x:c r="W353" s="131" t="str">
        <x:f>IF(A353="","",ROUND(MAX(D353-F353,0),2))</x:f>
      </x:c>
      <x:c r="X353" s="131" t="str">
        <x:f>IF(A353="","",ROUND(SUM($G353:$G$407),2))</x:f>
      </x:c>
      <x:c r="Y353" s="131" t="str">
        <x:f>IF(A353="","",ROUND(MAX(X353-D353,0),2))</x:f>
      </x:c>
      <x:c r="Z353" s="131" t="str">
        <x:f>IF(A353="","",ROUND(SUM($V353:$V$407),2))</x:f>
      </x:c>
      <x:c r="AA353" s="131" t="str">
        <x:f>IF(A353="","",ROUND(SUM($K353:$K$407)-Z353,2))</x:f>
      </x:c>
      <x:c r="AB353" s="77"/>
      <x:c r="AC353" s="36" t="str">
        <x:f>IF(A353="","",IF(O353&gt;0,"Vencido: saldo da fatura + mora",IF(O353&lt;=0,"Vincendo: VP da parcela financeira; comissão/proteção futuras isentas","")))</x:f>
      </x:c>
    </x:row>
    <x:row r="354">
      <x:c r="A354" s="129" t="str">
        <x:f>IF(ROW()-7&lt;=Contrato!$C$16,ROW()-7,"")</x:f>
      </x:c>
      <x:c r="B354" s="129" t="str">
        <x:f>IF(A354="","",Contrato!$C$16)</x:f>
      </x:c>
      <x:c r="C354" s="130" t="str">
        <x:f>IF(A354="","",IF(AB354&lt;&gt;"",AB354,IF(Contrato!$C$14="Mensal",EDATE(Contrato!$C$13,A354-1),Contrato!$C$13+(A354-1)*IF(Contrato!$C$14="Quinzenal",14,IF(Contrato!$C$14="Semanal",7,1)))))</x:f>
      </x:c>
      <x:c r="D354" s="131" t="str">
        <x:f>IF(A354="","",W353)</x:f>
      </x:c>
      <x:c r="E354" s="131" t="str">
        <x:f>IF(A354="","",ROUND(D354*Simulador!$I$18,2))</x:f>
      </x:c>
      <x:c r="F354" s="131" t="str">
        <x:f>IF(A354="","",ROUND(MIN(D354,MAX(G354-E354,0)),2))</x:f>
      </x:c>
      <x:c r="G354" s="131" t="str">
        <x:f>IF(A354="","",IF(A354&lt;Contrato!$C$16,Contrato!$C$27,Contrato!$C$28))</x:f>
      </x:c>
      <x:c r="H354" s="131" t="str">
        <x:f>IF(A354="","",Contrato!$C$29)</x:f>
      </x:c>
      <x:c r="I354" s="131" t="str">
        <x:f>IF(A354="","",Contrato!$C$30)</x:f>
      </x:c>
      <x:c r="J354" s="131" t="str">
        <x:f>IF(A354="","",Contrato!$C$31)</x:f>
      </x:c>
      <x:c r="K354" s="131" t="str">
        <x:f>IF(A354="","",ROUND(SUM(G354:J354),2))</x:f>
      </x:c>
      <x:c r="L354" s="80"/>
      <x:c r="M354" s="77"/>
      <x:c r="N354" s="29" t="str">
        <x:f>IF(A354="","",IF(L354&gt;=K354,"Paga",IF(L354&gt;0,"Paga parcialmente",IF(C354&lt;$A$5,"Vencida","Prevista"))))</x:f>
      </x:c>
      <x:c r="O354" s="29" t="str">
        <x:f>IF(A354="","",$A$5-C354)</x:f>
      </x:c>
      <x:c r="P354" s="131" t="str">
        <x:f>IF(A354="","",IF(AND(O354&gt;0,MAX(K354-L354,0)&gt;0,N354&lt;&gt;"Paga"),ROUND(MAX(K354-L354,0)*'Parâmetros'!$B$34,2),0))</x:f>
      </x:c>
      <x:c r="Q354" s="131" t="str">
        <x:f>IF(A354="","",IF(AND(O354&gt;0,MAX(K354-L354,0)&gt;0,N354&lt;&gt;"Paga"),ROUND(MAX(K354-L354,0)*'Parâmetros'!$B$35*(O354/'Parâmetros'!$B$33),2),0))</x:f>
      </x:c>
      <x:c r="R354" s="131" t="str">
        <x:f>IF(A354="","",IF(O354&gt;0,ROUND(MAX(K354-L354,0)+P354+Q354,2),0))</x:f>
      </x:c>
      <x:c r="S354" s="131" t="str">
        <x:f>IF(A354="","",IF(OR(N354="Paga",O354&gt;0),0,ROUND(IF(K354=0,0,G354*MAX(K354-L354,0)/K354)/(1+'Parâmetros'!$C$13)^((C354-$A$5)/30),2)))</x:f>
      </x:c>
      <x:c r="T354" s="131" t="str">
        <x:f>IF(A354="","",0)</x:f>
      </x:c>
      <x:c r="U354" s="131" t="str">
        <x:f>IF(A354="","",0)</x:f>
      </x:c>
      <x:c r="V354" s="131" t="str">
        <x:f>IF(A354="","",IF(N354="Paga",0,IF(O354&gt;0,R354,S354)))</x:f>
      </x:c>
      <x:c r="W354" s="131" t="str">
        <x:f>IF(A354="","",ROUND(MAX(D354-F354,0),2))</x:f>
      </x:c>
      <x:c r="X354" s="131" t="str">
        <x:f>IF(A354="","",ROUND(SUM($G354:$G$407),2))</x:f>
      </x:c>
      <x:c r="Y354" s="131" t="str">
        <x:f>IF(A354="","",ROUND(MAX(X354-D354,0),2))</x:f>
      </x:c>
      <x:c r="Z354" s="131" t="str">
        <x:f>IF(A354="","",ROUND(SUM($V354:$V$407),2))</x:f>
      </x:c>
      <x:c r="AA354" s="131" t="str">
        <x:f>IF(A354="","",ROUND(SUM($K354:$K$407)-Z354,2))</x:f>
      </x:c>
      <x:c r="AB354" s="77"/>
      <x:c r="AC354" s="36" t="str">
        <x:f>IF(A354="","",IF(O354&gt;0,"Vencido: saldo da fatura + mora",IF(O354&lt;=0,"Vincendo: VP da parcela financeira; comissão/proteção futuras isentas","")))</x:f>
      </x:c>
    </x:row>
    <x:row r="355">
      <x:c r="A355" s="129" t="str">
        <x:f>IF(ROW()-7&lt;=Contrato!$C$16,ROW()-7,"")</x:f>
      </x:c>
      <x:c r="B355" s="129" t="str">
        <x:f>IF(A355="","",Contrato!$C$16)</x:f>
      </x:c>
      <x:c r="C355" s="130" t="str">
        <x:f>IF(A355="","",IF(AB355&lt;&gt;"",AB355,IF(Contrato!$C$14="Mensal",EDATE(Contrato!$C$13,A355-1),Contrato!$C$13+(A355-1)*IF(Contrato!$C$14="Quinzenal",14,IF(Contrato!$C$14="Semanal",7,1)))))</x:f>
      </x:c>
      <x:c r="D355" s="131" t="str">
        <x:f>IF(A355="","",W354)</x:f>
      </x:c>
      <x:c r="E355" s="131" t="str">
        <x:f>IF(A355="","",ROUND(D355*Simulador!$I$18,2))</x:f>
      </x:c>
      <x:c r="F355" s="131" t="str">
        <x:f>IF(A355="","",ROUND(MIN(D355,MAX(G355-E355,0)),2))</x:f>
      </x:c>
      <x:c r="G355" s="131" t="str">
        <x:f>IF(A355="","",IF(A355&lt;Contrato!$C$16,Contrato!$C$27,Contrato!$C$28))</x:f>
      </x:c>
      <x:c r="H355" s="131" t="str">
        <x:f>IF(A355="","",Contrato!$C$29)</x:f>
      </x:c>
      <x:c r="I355" s="131" t="str">
        <x:f>IF(A355="","",Contrato!$C$30)</x:f>
      </x:c>
      <x:c r="J355" s="131" t="str">
        <x:f>IF(A355="","",Contrato!$C$31)</x:f>
      </x:c>
      <x:c r="K355" s="131" t="str">
        <x:f>IF(A355="","",ROUND(SUM(G355:J355),2))</x:f>
      </x:c>
      <x:c r="L355" s="80"/>
      <x:c r="M355" s="77"/>
      <x:c r="N355" s="29" t="str">
        <x:f>IF(A355="","",IF(L355&gt;=K355,"Paga",IF(L355&gt;0,"Paga parcialmente",IF(C355&lt;$A$5,"Vencida","Prevista"))))</x:f>
      </x:c>
      <x:c r="O355" s="29" t="str">
        <x:f>IF(A355="","",$A$5-C355)</x:f>
      </x:c>
      <x:c r="P355" s="131" t="str">
        <x:f>IF(A355="","",IF(AND(O355&gt;0,MAX(K355-L355,0)&gt;0,N355&lt;&gt;"Paga"),ROUND(MAX(K355-L355,0)*'Parâmetros'!$B$34,2),0))</x:f>
      </x:c>
      <x:c r="Q355" s="131" t="str">
        <x:f>IF(A355="","",IF(AND(O355&gt;0,MAX(K355-L355,0)&gt;0,N355&lt;&gt;"Paga"),ROUND(MAX(K355-L355,0)*'Parâmetros'!$B$35*(O355/'Parâmetros'!$B$33),2),0))</x:f>
      </x:c>
      <x:c r="R355" s="131" t="str">
        <x:f>IF(A355="","",IF(O355&gt;0,ROUND(MAX(K355-L355,0)+P355+Q355,2),0))</x:f>
      </x:c>
      <x:c r="S355" s="131" t="str">
        <x:f>IF(A355="","",IF(OR(N355="Paga",O355&gt;0),0,ROUND(IF(K355=0,0,G355*MAX(K355-L355,0)/K355)/(1+'Parâmetros'!$C$13)^((C355-$A$5)/30),2)))</x:f>
      </x:c>
      <x:c r="T355" s="131" t="str">
        <x:f>IF(A355="","",0)</x:f>
      </x:c>
      <x:c r="U355" s="131" t="str">
        <x:f>IF(A355="","",0)</x:f>
      </x:c>
      <x:c r="V355" s="131" t="str">
        <x:f>IF(A355="","",IF(N355="Paga",0,IF(O355&gt;0,R355,S355)))</x:f>
      </x:c>
      <x:c r="W355" s="131" t="str">
        <x:f>IF(A355="","",ROUND(MAX(D355-F355,0),2))</x:f>
      </x:c>
      <x:c r="X355" s="131" t="str">
        <x:f>IF(A355="","",ROUND(SUM($G355:$G$407),2))</x:f>
      </x:c>
      <x:c r="Y355" s="131" t="str">
        <x:f>IF(A355="","",ROUND(MAX(X355-D355,0),2))</x:f>
      </x:c>
      <x:c r="Z355" s="131" t="str">
        <x:f>IF(A355="","",ROUND(SUM($V355:$V$407),2))</x:f>
      </x:c>
      <x:c r="AA355" s="131" t="str">
        <x:f>IF(A355="","",ROUND(SUM($K355:$K$407)-Z355,2))</x:f>
      </x:c>
      <x:c r="AB355" s="77"/>
      <x:c r="AC355" s="36" t="str">
        <x:f>IF(A355="","",IF(O355&gt;0,"Vencido: saldo da fatura + mora",IF(O355&lt;=0,"Vincendo: VP da parcela financeira; comissão/proteção futuras isentas","")))</x:f>
      </x:c>
    </x:row>
    <x:row r="356">
      <x:c r="A356" s="129" t="str">
        <x:f>IF(ROW()-7&lt;=Contrato!$C$16,ROW()-7,"")</x:f>
      </x:c>
      <x:c r="B356" s="129" t="str">
        <x:f>IF(A356="","",Contrato!$C$16)</x:f>
      </x:c>
      <x:c r="C356" s="130" t="str">
        <x:f>IF(A356="","",IF(AB356&lt;&gt;"",AB356,IF(Contrato!$C$14="Mensal",EDATE(Contrato!$C$13,A356-1),Contrato!$C$13+(A356-1)*IF(Contrato!$C$14="Quinzenal",14,IF(Contrato!$C$14="Semanal",7,1)))))</x:f>
      </x:c>
      <x:c r="D356" s="131" t="str">
        <x:f>IF(A356="","",W355)</x:f>
      </x:c>
      <x:c r="E356" s="131" t="str">
        <x:f>IF(A356="","",ROUND(D356*Simulador!$I$18,2))</x:f>
      </x:c>
      <x:c r="F356" s="131" t="str">
        <x:f>IF(A356="","",ROUND(MIN(D356,MAX(G356-E356,0)),2))</x:f>
      </x:c>
      <x:c r="G356" s="131" t="str">
        <x:f>IF(A356="","",IF(A356&lt;Contrato!$C$16,Contrato!$C$27,Contrato!$C$28))</x:f>
      </x:c>
      <x:c r="H356" s="131" t="str">
        <x:f>IF(A356="","",Contrato!$C$29)</x:f>
      </x:c>
      <x:c r="I356" s="131" t="str">
        <x:f>IF(A356="","",Contrato!$C$30)</x:f>
      </x:c>
      <x:c r="J356" s="131" t="str">
        <x:f>IF(A356="","",Contrato!$C$31)</x:f>
      </x:c>
      <x:c r="K356" s="131" t="str">
        <x:f>IF(A356="","",ROUND(SUM(G356:J356),2))</x:f>
      </x:c>
      <x:c r="L356" s="80"/>
      <x:c r="M356" s="77"/>
      <x:c r="N356" s="29" t="str">
        <x:f>IF(A356="","",IF(L356&gt;=K356,"Paga",IF(L356&gt;0,"Paga parcialmente",IF(C356&lt;$A$5,"Vencida","Prevista"))))</x:f>
      </x:c>
      <x:c r="O356" s="29" t="str">
        <x:f>IF(A356="","",$A$5-C356)</x:f>
      </x:c>
      <x:c r="P356" s="131" t="str">
        <x:f>IF(A356="","",IF(AND(O356&gt;0,MAX(K356-L356,0)&gt;0,N356&lt;&gt;"Paga"),ROUND(MAX(K356-L356,0)*'Parâmetros'!$B$34,2),0))</x:f>
      </x:c>
      <x:c r="Q356" s="131" t="str">
        <x:f>IF(A356="","",IF(AND(O356&gt;0,MAX(K356-L356,0)&gt;0,N356&lt;&gt;"Paga"),ROUND(MAX(K356-L356,0)*'Parâmetros'!$B$35*(O356/'Parâmetros'!$B$33),2),0))</x:f>
      </x:c>
      <x:c r="R356" s="131" t="str">
        <x:f>IF(A356="","",IF(O356&gt;0,ROUND(MAX(K356-L356,0)+P356+Q356,2),0))</x:f>
      </x:c>
      <x:c r="S356" s="131" t="str">
        <x:f>IF(A356="","",IF(OR(N356="Paga",O356&gt;0),0,ROUND(IF(K356=0,0,G356*MAX(K356-L356,0)/K356)/(1+'Parâmetros'!$C$13)^((C356-$A$5)/30),2)))</x:f>
      </x:c>
      <x:c r="T356" s="131" t="str">
        <x:f>IF(A356="","",0)</x:f>
      </x:c>
      <x:c r="U356" s="131" t="str">
        <x:f>IF(A356="","",0)</x:f>
      </x:c>
      <x:c r="V356" s="131" t="str">
        <x:f>IF(A356="","",IF(N356="Paga",0,IF(O356&gt;0,R356,S356)))</x:f>
      </x:c>
      <x:c r="W356" s="131" t="str">
        <x:f>IF(A356="","",ROUND(MAX(D356-F356,0),2))</x:f>
      </x:c>
      <x:c r="X356" s="131" t="str">
        <x:f>IF(A356="","",ROUND(SUM($G356:$G$407),2))</x:f>
      </x:c>
      <x:c r="Y356" s="131" t="str">
        <x:f>IF(A356="","",ROUND(MAX(X356-D356,0),2))</x:f>
      </x:c>
      <x:c r="Z356" s="131" t="str">
        <x:f>IF(A356="","",ROUND(SUM($V356:$V$407),2))</x:f>
      </x:c>
      <x:c r="AA356" s="131" t="str">
        <x:f>IF(A356="","",ROUND(SUM($K356:$K$407)-Z356,2))</x:f>
      </x:c>
      <x:c r="AB356" s="77"/>
      <x:c r="AC356" s="36" t="str">
        <x:f>IF(A356="","",IF(O356&gt;0,"Vencido: saldo da fatura + mora",IF(O356&lt;=0,"Vincendo: VP da parcela financeira; comissão/proteção futuras isentas","")))</x:f>
      </x:c>
    </x:row>
    <x:row r="357">
      <x:c r="A357" s="129" t="str">
        <x:f>IF(ROW()-7&lt;=Contrato!$C$16,ROW()-7,"")</x:f>
      </x:c>
      <x:c r="B357" s="129" t="str">
        <x:f>IF(A357="","",Contrato!$C$16)</x:f>
      </x:c>
      <x:c r="C357" s="130" t="str">
        <x:f>IF(A357="","",IF(AB357&lt;&gt;"",AB357,IF(Contrato!$C$14="Mensal",EDATE(Contrato!$C$13,A357-1),Contrato!$C$13+(A357-1)*IF(Contrato!$C$14="Quinzenal",14,IF(Contrato!$C$14="Semanal",7,1)))))</x:f>
      </x:c>
      <x:c r="D357" s="131" t="str">
        <x:f>IF(A357="","",W356)</x:f>
      </x:c>
      <x:c r="E357" s="131" t="str">
        <x:f>IF(A357="","",ROUND(D357*Simulador!$I$18,2))</x:f>
      </x:c>
      <x:c r="F357" s="131" t="str">
        <x:f>IF(A357="","",ROUND(MIN(D357,MAX(G357-E357,0)),2))</x:f>
      </x:c>
      <x:c r="G357" s="131" t="str">
        <x:f>IF(A357="","",IF(A357&lt;Contrato!$C$16,Contrato!$C$27,Contrato!$C$28))</x:f>
      </x:c>
      <x:c r="H357" s="131" t="str">
        <x:f>IF(A357="","",Contrato!$C$29)</x:f>
      </x:c>
      <x:c r="I357" s="131" t="str">
        <x:f>IF(A357="","",Contrato!$C$30)</x:f>
      </x:c>
      <x:c r="J357" s="131" t="str">
        <x:f>IF(A357="","",Contrato!$C$31)</x:f>
      </x:c>
      <x:c r="K357" s="131" t="str">
        <x:f>IF(A357="","",ROUND(SUM(G357:J357),2))</x:f>
      </x:c>
      <x:c r="L357" s="80"/>
      <x:c r="M357" s="77"/>
      <x:c r="N357" s="29" t="str">
        <x:f>IF(A357="","",IF(L357&gt;=K357,"Paga",IF(L357&gt;0,"Paga parcialmente",IF(C357&lt;$A$5,"Vencida","Prevista"))))</x:f>
      </x:c>
      <x:c r="O357" s="29" t="str">
        <x:f>IF(A357="","",$A$5-C357)</x:f>
      </x:c>
      <x:c r="P357" s="131" t="str">
        <x:f>IF(A357="","",IF(AND(O357&gt;0,MAX(K357-L357,0)&gt;0,N357&lt;&gt;"Paga"),ROUND(MAX(K357-L357,0)*'Parâmetros'!$B$34,2),0))</x:f>
      </x:c>
      <x:c r="Q357" s="131" t="str">
        <x:f>IF(A357="","",IF(AND(O357&gt;0,MAX(K357-L357,0)&gt;0,N357&lt;&gt;"Paga"),ROUND(MAX(K357-L357,0)*'Parâmetros'!$B$35*(O357/'Parâmetros'!$B$33),2),0))</x:f>
      </x:c>
      <x:c r="R357" s="131" t="str">
        <x:f>IF(A357="","",IF(O357&gt;0,ROUND(MAX(K357-L357,0)+P357+Q357,2),0))</x:f>
      </x:c>
      <x:c r="S357" s="131" t="str">
        <x:f>IF(A357="","",IF(OR(N357="Paga",O357&gt;0),0,ROUND(IF(K357=0,0,G357*MAX(K357-L357,0)/K357)/(1+'Parâmetros'!$C$13)^((C357-$A$5)/30),2)))</x:f>
      </x:c>
      <x:c r="T357" s="131" t="str">
        <x:f>IF(A357="","",0)</x:f>
      </x:c>
      <x:c r="U357" s="131" t="str">
        <x:f>IF(A357="","",0)</x:f>
      </x:c>
      <x:c r="V357" s="131" t="str">
        <x:f>IF(A357="","",IF(N357="Paga",0,IF(O357&gt;0,R357,S357)))</x:f>
      </x:c>
      <x:c r="W357" s="131" t="str">
        <x:f>IF(A357="","",ROUND(MAX(D357-F357,0),2))</x:f>
      </x:c>
      <x:c r="X357" s="131" t="str">
        <x:f>IF(A357="","",ROUND(SUM($G357:$G$407),2))</x:f>
      </x:c>
      <x:c r="Y357" s="131" t="str">
        <x:f>IF(A357="","",ROUND(MAX(X357-D357,0),2))</x:f>
      </x:c>
      <x:c r="Z357" s="131" t="str">
        <x:f>IF(A357="","",ROUND(SUM($V357:$V$407),2))</x:f>
      </x:c>
      <x:c r="AA357" s="131" t="str">
        <x:f>IF(A357="","",ROUND(SUM($K357:$K$407)-Z357,2))</x:f>
      </x:c>
      <x:c r="AB357" s="77"/>
      <x:c r="AC357" s="36" t="str">
        <x:f>IF(A357="","",IF(O357&gt;0,"Vencido: saldo da fatura + mora",IF(O357&lt;=0,"Vincendo: VP da parcela financeira; comissão/proteção futuras isentas","")))</x:f>
      </x:c>
    </x:row>
    <x:row r="358">
      <x:c r="A358" s="129" t="str">
        <x:f>IF(ROW()-7&lt;=Contrato!$C$16,ROW()-7,"")</x:f>
      </x:c>
      <x:c r="B358" s="129" t="str">
        <x:f>IF(A358="","",Contrato!$C$16)</x:f>
      </x:c>
      <x:c r="C358" s="130" t="str">
        <x:f>IF(A358="","",IF(AB358&lt;&gt;"",AB358,IF(Contrato!$C$14="Mensal",EDATE(Contrato!$C$13,A358-1),Contrato!$C$13+(A358-1)*IF(Contrato!$C$14="Quinzenal",14,IF(Contrato!$C$14="Semanal",7,1)))))</x:f>
      </x:c>
      <x:c r="D358" s="131" t="str">
        <x:f>IF(A358="","",W357)</x:f>
      </x:c>
      <x:c r="E358" s="131" t="str">
        <x:f>IF(A358="","",ROUND(D358*Simulador!$I$18,2))</x:f>
      </x:c>
      <x:c r="F358" s="131" t="str">
        <x:f>IF(A358="","",ROUND(MIN(D358,MAX(G358-E358,0)),2))</x:f>
      </x:c>
      <x:c r="G358" s="131" t="str">
        <x:f>IF(A358="","",IF(A358&lt;Contrato!$C$16,Contrato!$C$27,Contrato!$C$28))</x:f>
      </x:c>
      <x:c r="H358" s="131" t="str">
        <x:f>IF(A358="","",Contrato!$C$29)</x:f>
      </x:c>
      <x:c r="I358" s="131" t="str">
        <x:f>IF(A358="","",Contrato!$C$30)</x:f>
      </x:c>
      <x:c r="J358" s="131" t="str">
        <x:f>IF(A358="","",Contrato!$C$31)</x:f>
      </x:c>
      <x:c r="K358" s="131" t="str">
        <x:f>IF(A358="","",ROUND(SUM(G358:J358),2))</x:f>
      </x:c>
      <x:c r="L358" s="80"/>
      <x:c r="M358" s="77"/>
      <x:c r="N358" s="29" t="str">
        <x:f>IF(A358="","",IF(L358&gt;=K358,"Paga",IF(L358&gt;0,"Paga parcialmente",IF(C358&lt;$A$5,"Vencida","Prevista"))))</x:f>
      </x:c>
      <x:c r="O358" s="29" t="str">
        <x:f>IF(A358="","",$A$5-C358)</x:f>
      </x:c>
      <x:c r="P358" s="131" t="str">
        <x:f>IF(A358="","",IF(AND(O358&gt;0,MAX(K358-L358,0)&gt;0,N358&lt;&gt;"Paga"),ROUND(MAX(K358-L358,0)*'Parâmetros'!$B$34,2),0))</x:f>
      </x:c>
      <x:c r="Q358" s="131" t="str">
        <x:f>IF(A358="","",IF(AND(O358&gt;0,MAX(K358-L358,0)&gt;0,N358&lt;&gt;"Paga"),ROUND(MAX(K358-L358,0)*'Parâmetros'!$B$35*(O358/'Parâmetros'!$B$33),2),0))</x:f>
      </x:c>
      <x:c r="R358" s="131" t="str">
        <x:f>IF(A358="","",IF(O358&gt;0,ROUND(MAX(K358-L358,0)+P358+Q358,2),0))</x:f>
      </x:c>
      <x:c r="S358" s="131" t="str">
        <x:f>IF(A358="","",IF(OR(N358="Paga",O358&gt;0),0,ROUND(IF(K358=0,0,G358*MAX(K358-L358,0)/K358)/(1+'Parâmetros'!$C$13)^((C358-$A$5)/30),2)))</x:f>
      </x:c>
      <x:c r="T358" s="131" t="str">
        <x:f>IF(A358="","",0)</x:f>
      </x:c>
      <x:c r="U358" s="131" t="str">
        <x:f>IF(A358="","",0)</x:f>
      </x:c>
      <x:c r="V358" s="131" t="str">
        <x:f>IF(A358="","",IF(N358="Paga",0,IF(O358&gt;0,R358,S358)))</x:f>
      </x:c>
      <x:c r="W358" s="131" t="str">
        <x:f>IF(A358="","",ROUND(MAX(D358-F358,0),2))</x:f>
      </x:c>
      <x:c r="X358" s="131" t="str">
        <x:f>IF(A358="","",ROUND(SUM($G358:$G$407),2))</x:f>
      </x:c>
      <x:c r="Y358" s="131" t="str">
        <x:f>IF(A358="","",ROUND(MAX(X358-D358,0),2))</x:f>
      </x:c>
      <x:c r="Z358" s="131" t="str">
        <x:f>IF(A358="","",ROUND(SUM($V358:$V$407),2))</x:f>
      </x:c>
      <x:c r="AA358" s="131" t="str">
        <x:f>IF(A358="","",ROUND(SUM($K358:$K$407)-Z358,2))</x:f>
      </x:c>
      <x:c r="AB358" s="77"/>
      <x:c r="AC358" s="36" t="str">
        <x:f>IF(A358="","",IF(O358&gt;0,"Vencido: saldo da fatura + mora",IF(O358&lt;=0,"Vincendo: VP da parcela financeira; comissão/proteção futuras isentas","")))</x:f>
      </x:c>
    </x:row>
    <x:row r="359">
      <x:c r="A359" s="129" t="str">
        <x:f>IF(ROW()-7&lt;=Contrato!$C$16,ROW()-7,"")</x:f>
      </x:c>
      <x:c r="B359" s="129" t="str">
        <x:f>IF(A359="","",Contrato!$C$16)</x:f>
      </x:c>
      <x:c r="C359" s="130" t="str">
        <x:f>IF(A359="","",IF(AB359&lt;&gt;"",AB359,IF(Contrato!$C$14="Mensal",EDATE(Contrato!$C$13,A359-1),Contrato!$C$13+(A359-1)*IF(Contrato!$C$14="Quinzenal",14,IF(Contrato!$C$14="Semanal",7,1)))))</x:f>
      </x:c>
      <x:c r="D359" s="131" t="str">
        <x:f>IF(A359="","",W358)</x:f>
      </x:c>
      <x:c r="E359" s="131" t="str">
        <x:f>IF(A359="","",ROUND(D359*Simulador!$I$18,2))</x:f>
      </x:c>
      <x:c r="F359" s="131" t="str">
        <x:f>IF(A359="","",ROUND(MIN(D359,MAX(G359-E359,0)),2))</x:f>
      </x:c>
      <x:c r="G359" s="131" t="str">
        <x:f>IF(A359="","",IF(A359&lt;Contrato!$C$16,Contrato!$C$27,Contrato!$C$28))</x:f>
      </x:c>
      <x:c r="H359" s="131" t="str">
        <x:f>IF(A359="","",Contrato!$C$29)</x:f>
      </x:c>
      <x:c r="I359" s="131" t="str">
        <x:f>IF(A359="","",Contrato!$C$30)</x:f>
      </x:c>
      <x:c r="J359" s="131" t="str">
        <x:f>IF(A359="","",Contrato!$C$31)</x:f>
      </x:c>
      <x:c r="K359" s="131" t="str">
        <x:f>IF(A359="","",ROUND(SUM(G359:J359),2))</x:f>
      </x:c>
      <x:c r="L359" s="80"/>
      <x:c r="M359" s="77"/>
      <x:c r="N359" s="29" t="str">
        <x:f>IF(A359="","",IF(L359&gt;=K359,"Paga",IF(L359&gt;0,"Paga parcialmente",IF(C359&lt;$A$5,"Vencida","Prevista"))))</x:f>
      </x:c>
      <x:c r="O359" s="29" t="str">
        <x:f>IF(A359="","",$A$5-C359)</x:f>
      </x:c>
      <x:c r="P359" s="131" t="str">
        <x:f>IF(A359="","",IF(AND(O359&gt;0,MAX(K359-L359,0)&gt;0,N359&lt;&gt;"Paga"),ROUND(MAX(K359-L359,0)*'Parâmetros'!$B$34,2),0))</x:f>
      </x:c>
      <x:c r="Q359" s="131" t="str">
        <x:f>IF(A359="","",IF(AND(O359&gt;0,MAX(K359-L359,0)&gt;0,N359&lt;&gt;"Paga"),ROUND(MAX(K359-L359,0)*'Parâmetros'!$B$35*(O359/'Parâmetros'!$B$33),2),0))</x:f>
      </x:c>
      <x:c r="R359" s="131" t="str">
        <x:f>IF(A359="","",IF(O359&gt;0,ROUND(MAX(K359-L359,0)+P359+Q359,2),0))</x:f>
      </x:c>
      <x:c r="S359" s="131" t="str">
        <x:f>IF(A359="","",IF(OR(N359="Paga",O359&gt;0),0,ROUND(IF(K359=0,0,G359*MAX(K359-L359,0)/K359)/(1+'Parâmetros'!$C$13)^((C359-$A$5)/30),2)))</x:f>
      </x:c>
      <x:c r="T359" s="131" t="str">
        <x:f>IF(A359="","",0)</x:f>
      </x:c>
      <x:c r="U359" s="131" t="str">
        <x:f>IF(A359="","",0)</x:f>
      </x:c>
      <x:c r="V359" s="131" t="str">
        <x:f>IF(A359="","",IF(N359="Paga",0,IF(O359&gt;0,R359,S359)))</x:f>
      </x:c>
      <x:c r="W359" s="131" t="str">
        <x:f>IF(A359="","",ROUND(MAX(D359-F359,0),2))</x:f>
      </x:c>
      <x:c r="X359" s="131" t="str">
        <x:f>IF(A359="","",ROUND(SUM($G359:$G$407),2))</x:f>
      </x:c>
      <x:c r="Y359" s="131" t="str">
        <x:f>IF(A359="","",ROUND(MAX(X359-D359,0),2))</x:f>
      </x:c>
      <x:c r="Z359" s="131" t="str">
        <x:f>IF(A359="","",ROUND(SUM($V359:$V$407),2))</x:f>
      </x:c>
      <x:c r="AA359" s="131" t="str">
        <x:f>IF(A359="","",ROUND(SUM($K359:$K$407)-Z359,2))</x:f>
      </x:c>
      <x:c r="AB359" s="77"/>
      <x:c r="AC359" s="36" t="str">
        <x:f>IF(A359="","",IF(O359&gt;0,"Vencido: saldo da fatura + mora",IF(O359&lt;=0,"Vincendo: VP da parcela financeira; comissão/proteção futuras isentas","")))</x:f>
      </x:c>
    </x:row>
    <x:row r="360">
      <x:c r="A360" s="129" t="str">
        <x:f>IF(ROW()-7&lt;=Contrato!$C$16,ROW()-7,"")</x:f>
      </x:c>
      <x:c r="B360" s="129" t="str">
        <x:f>IF(A360="","",Contrato!$C$16)</x:f>
      </x:c>
      <x:c r="C360" s="130" t="str">
        <x:f>IF(A360="","",IF(AB360&lt;&gt;"",AB360,IF(Contrato!$C$14="Mensal",EDATE(Contrato!$C$13,A360-1),Contrato!$C$13+(A360-1)*IF(Contrato!$C$14="Quinzenal",14,IF(Contrato!$C$14="Semanal",7,1)))))</x:f>
      </x:c>
      <x:c r="D360" s="131" t="str">
        <x:f>IF(A360="","",W359)</x:f>
      </x:c>
      <x:c r="E360" s="131" t="str">
        <x:f>IF(A360="","",ROUND(D360*Simulador!$I$18,2))</x:f>
      </x:c>
      <x:c r="F360" s="131" t="str">
        <x:f>IF(A360="","",ROUND(MIN(D360,MAX(G360-E360,0)),2))</x:f>
      </x:c>
      <x:c r="G360" s="131" t="str">
        <x:f>IF(A360="","",IF(A360&lt;Contrato!$C$16,Contrato!$C$27,Contrato!$C$28))</x:f>
      </x:c>
      <x:c r="H360" s="131" t="str">
        <x:f>IF(A360="","",Contrato!$C$29)</x:f>
      </x:c>
      <x:c r="I360" s="131" t="str">
        <x:f>IF(A360="","",Contrato!$C$30)</x:f>
      </x:c>
      <x:c r="J360" s="131" t="str">
        <x:f>IF(A360="","",Contrato!$C$31)</x:f>
      </x:c>
      <x:c r="K360" s="131" t="str">
        <x:f>IF(A360="","",ROUND(SUM(G360:J360),2))</x:f>
      </x:c>
      <x:c r="L360" s="80"/>
      <x:c r="M360" s="77"/>
      <x:c r="N360" s="29" t="str">
        <x:f>IF(A360="","",IF(L360&gt;=K360,"Paga",IF(L360&gt;0,"Paga parcialmente",IF(C360&lt;$A$5,"Vencida","Prevista"))))</x:f>
      </x:c>
      <x:c r="O360" s="29" t="str">
        <x:f>IF(A360="","",$A$5-C360)</x:f>
      </x:c>
      <x:c r="P360" s="131" t="str">
        <x:f>IF(A360="","",IF(AND(O360&gt;0,MAX(K360-L360,0)&gt;0,N360&lt;&gt;"Paga"),ROUND(MAX(K360-L360,0)*'Parâmetros'!$B$34,2),0))</x:f>
      </x:c>
      <x:c r="Q360" s="131" t="str">
        <x:f>IF(A360="","",IF(AND(O360&gt;0,MAX(K360-L360,0)&gt;0,N360&lt;&gt;"Paga"),ROUND(MAX(K360-L360,0)*'Parâmetros'!$B$35*(O360/'Parâmetros'!$B$33),2),0))</x:f>
      </x:c>
      <x:c r="R360" s="131" t="str">
        <x:f>IF(A360="","",IF(O360&gt;0,ROUND(MAX(K360-L360,0)+P360+Q360,2),0))</x:f>
      </x:c>
      <x:c r="S360" s="131" t="str">
        <x:f>IF(A360="","",IF(OR(N360="Paga",O360&gt;0),0,ROUND(IF(K360=0,0,G360*MAX(K360-L360,0)/K360)/(1+'Parâmetros'!$C$13)^((C360-$A$5)/30),2)))</x:f>
      </x:c>
      <x:c r="T360" s="131" t="str">
        <x:f>IF(A360="","",0)</x:f>
      </x:c>
      <x:c r="U360" s="131" t="str">
        <x:f>IF(A360="","",0)</x:f>
      </x:c>
      <x:c r="V360" s="131" t="str">
        <x:f>IF(A360="","",IF(N360="Paga",0,IF(O360&gt;0,R360,S360)))</x:f>
      </x:c>
      <x:c r="W360" s="131" t="str">
        <x:f>IF(A360="","",ROUND(MAX(D360-F360,0),2))</x:f>
      </x:c>
      <x:c r="X360" s="131" t="str">
        <x:f>IF(A360="","",ROUND(SUM($G360:$G$407),2))</x:f>
      </x:c>
      <x:c r="Y360" s="131" t="str">
        <x:f>IF(A360="","",ROUND(MAX(X360-D360,0),2))</x:f>
      </x:c>
      <x:c r="Z360" s="131" t="str">
        <x:f>IF(A360="","",ROUND(SUM($V360:$V$407),2))</x:f>
      </x:c>
      <x:c r="AA360" s="131" t="str">
        <x:f>IF(A360="","",ROUND(SUM($K360:$K$407)-Z360,2))</x:f>
      </x:c>
      <x:c r="AB360" s="77"/>
      <x:c r="AC360" s="36" t="str">
        <x:f>IF(A360="","",IF(O360&gt;0,"Vencido: saldo da fatura + mora",IF(O360&lt;=0,"Vincendo: VP da parcela financeira; comissão/proteção futuras isentas","")))</x:f>
      </x:c>
    </x:row>
    <x:row r="361">
      <x:c r="A361" s="129" t="str">
        <x:f>IF(ROW()-7&lt;=Contrato!$C$16,ROW()-7,"")</x:f>
      </x:c>
      <x:c r="B361" s="129" t="str">
        <x:f>IF(A361="","",Contrato!$C$16)</x:f>
      </x:c>
      <x:c r="C361" s="130" t="str">
        <x:f>IF(A361="","",IF(AB361&lt;&gt;"",AB361,IF(Contrato!$C$14="Mensal",EDATE(Contrato!$C$13,A361-1),Contrato!$C$13+(A361-1)*IF(Contrato!$C$14="Quinzenal",14,IF(Contrato!$C$14="Semanal",7,1)))))</x:f>
      </x:c>
      <x:c r="D361" s="131" t="str">
        <x:f>IF(A361="","",W360)</x:f>
      </x:c>
      <x:c r="E361" s="131" t="str">
        <x:f>IF(A361="","",ROUND(D361*Simulador!$I$18,2))</x:f>
      </x:c>
      <x:c r="F361" s="131" t="str">
        <x:f>IF(A361="","",ROUND(MIN(D361,MAX(G361-E361,0)),2))</x:f>
      </x:c>
      <x:c r="G361" s="131" t="str">
        <x:f>IF(A361="","",IF(A361&lt;Contrato!$C$16,Contrato!$C$27,Contrato!$C$28))</x:f>
      </x:c>
      <x:c r="H361" s="131" t="str">
        <x:f>IF(A361="","",Contrato!$C$29)</x:f>
      </x:c>
      <x:c r="I361" s="131" t="str">
        <x:f>IF(A361="","",Contrato!$C$30)</x:f>
      </x:c>
      <x:c r="J361" s="131" t="str">
        <x:f>IF(A361="","",Contrato!$C$31)</x:f>
      </x:c>
      <x:c r="K361" s="131" t="str">
        <x:f>IF(A361="","",ROUND(SUM(G361:J361),2))</x:f>
      </x:c>
      <x:c r="L361" s="80"/>
      <x:c r="M361" s="77"/>
      <x:c r="N361" s="29" t="str">
        <x:f>IF(A361="","",IF(L361&gt;=K361,"Paga",IF(L361&gt;0,"Paga parcialmente",IF(C361&lt;$A$5,"Vencida","Prevista"))))</x:f>
      </x:c>
      <x:c r="O361" s="29" t="str">
        <x:f>IF(A361="","",$A$5-C361)</x:f>
      </x:c>
      <x:c r="P361" s="131" t="str">
        <x:f>IF(A361="","",IF(AND(O361&gt;0,MAX(K361-L361,0)&gt;0,N361&lt;&gt;"Paga"),ROUND(MAX(K361-L361,0)*'Parâmetros'!$B$34,2),0))</x:f>
      </x:c>
      <x:c r="Q361" s="131" t="str">
        <x:f>IF(A361="","",IF(AND(O361&gt;0,MAX(K361-L361,0)&gt;0,N361&lt;&gt;"Paga"),ROUND(MAX(K361-L361,0)*'Parâmetros'!$B$35*(O361/'Parâmetros'!$B$33),2),0))</x:f>
      </x:c>
      <x:c r="R361" s="131" t="str">
        <x:f>IF(A361="","",IF(O361&gt;0,ROUND(MAX(K361-L361,0)+P361+Q361,2),0))</x:f>
      </x:c>
      <x:c r="S361" s="131" t="str">
        <x:f>IF(A361="","",IF(OR(N361="Paga",O361&gt;0),0,ROUND(IF(K361=0,0,G361*MAX(K361-L361,0)/K361)/(1+'Parâmetros'!$C$13)^((C361-$A$5)/30),2)))</x:f>
      </x:c>
      <x:c r="T361" s="131" t="str">
        <x:f>IF(A361="","",0)</x:f>
      </x:c>
      <x:c r="U361" s="131" t="str">
        <x:f>IF(A361="","",0)</x:f>
      </x:c>
      <x:c r="V361" s="131" t="str">
        <x:f>IF(A361="","",IF(N361="Paga",0,IF(O361&gt;0,R361,S361)))</x:f>
      </x:c>
      <x:c r="W361" s="131" t="str">
        <x:f>IF(A361="","",ROUND(MAX(D361-F361,0),2))</x:f>
      </x:c>
      <x:c r="X361" s="131" t="str">
        <x:f>IF(A361="","",ROUND(SUM($G361:$G$407),2))</x:f>
      </x:c>
      <x:c r="Y361" s="131" t="str">
        <x:f>IF(A361="","",ROUND(MAX(X361-D361,0),2))</x:f>
      </x:c>
      <x:c r="Z361" s="131" t="str">
        <x:f>IF(A361="","",ROUND(SUM($V361:$V$407),2))</x:f>
      </x:c>
      <x:c r="AA361" s="131" t="str">
        <x:f>IF(A361="","",ROUND(SUM($K361:$K$407)-Z361,2))</x:f>
      </x:c>
      <x:c r="AB361" s="77"/>
      <x:c r="AC361" s="36" t="str">
        <x:f>IF(A361="","",IF(O361&gt;0,"Vencido: saldo da fatura + mora",IF(O361&lt;=0,"Vincendo: VP da parcela financeira; comissão/proteção futuras isentas","")))</x:f>
      </x:c>
    </x:row>
    <x:row r="362">
      <x:c r="A362" s="129" t="str">
        <x:f>IF(ROW()-7&lt;=Contrato!$C$16,ROW()-7,"")</x:f>
      </x:c>
      <x:c r="B362" s="129" t="str">
        <x:f>IF(A362="","",Contrato!$C$16)</x:f>
      </x:c>
      <x:c r="C362" s="130" t="str">
        <x:f>IF(A362="","",IF(AB362&lt;&gt;"",AB362,IF(Contrato!$C$14="Mensal",EDATE(Contrato!$C$13,A362-1),Contrato!$C$13+(A362-1)*IF(Contrato!$C$14="Quinzenal",14,IF(Contrato!$C$14="Semanal",7,1)))))</x:f>
      </x:c>
      <x:c r="D362" s="131" t="str">
        <x:f>IF(A362="","",W361)</x:f>
      </x:c>
      <x:c r="E362" s="131" t="str">
        <x:f>IF(A362="","",ROUND(D362*Simulador!$I$18,2))</x:f>
      </x:c>
      <x:c r="F362" s="131" t="str">
        <x:f>IF(A362="","",ROUND(MIN(D362,MAX(G362-E362,0)),2))</x:f>
      </x:c>
      <x:c r="G362" s="131" t="str">
        <x:f>IF(A362="","",IF(A362&lt;Contrato!$C$16,Contrato!$C$27,Contrato!$C$28))</x:f>
      </x:c>
      <x:c r="H362" s="131" t="str">
        <x:f>IF(A362="","",Contrato!$C$29)</x:f>
      </x:c>
      <x:c r="I362" s="131" t="str">
        <x:f>IF(A362="","",Contrato!$C$30)</x:f>
      </x:c>
      <x:c r="J362" s="131" t="str">
        <x:f>IF(A362="","",Contrato!$C$31)</x:f>
      </x:c>
      <x:c r="K362" s="131" t="str">
        <x:f>IF(A362="","",ROUND(SUM(G362:J362),2))</x:f>
      </x:c>
      <x:c r="L362" s="80"/>
      <x:c r="M362" s="77"/>
      <x:c r="N362" s="29" t="str">
        <x:f>IF(A362="","",IF(L362&gt;=K362,"Paga",IF(L362&gt;0,"Paga parcialmente",IF(C362&lt;$A$5,"Vencida","Prevista"))))</x:f>
      </x:c>
      <x:c r="O362" s="29" t="str">
        <x:f>IF(A362="","",$A$5-C362)</x:f>
      </x:c>
      <x:c r="P362" s="131" t="str">
        <x:f>IF(A362="","",IF(AND(O362&gt;0,MAX(K362-L362,0)&gt;0,N362&lt;&gt;"Paga"),ROUND(MAX(K362-L362,0)*'Parâmetros'!$B$34,2),0))</x:f>
      </x:c>
      <x:c r="Q362" s="131" t="str">
        <x:f>IF(A362="","",IF(AND(O362&gt;0,MAX(K362-L362,0)&gt;0,N362&lt;&gt;"Paga"),ROUND(MAX(K362-L362,0)*'Parâmetros'!$B$35*(O362/'Parâmetros'!$B$33),2),0))</x:f>
      </x:c>
      <x:c r="R362" s="131" t="str">
        <x:f>IF(A362="","",IF(O362&gt;0,ROUND(MAX(K362-L362,0)+P362+Q362,2),0))</x:f>
      </x:c>
      <x:c r="S362" s="131" t="str">
        <x:f>IF(A362="","",IF(OR(N362="Paga",O362&gt;0),0,ROUND(IF(K362=0,0,G362*MAX(K362-L362,0)/K362)/(1+'Parâmetros'!$C$13)^((C362-$A$5)/30),2)))</x:f>
      </x:c>
      <x:c r="T362" s="131" t="str">
        <x:f>IF(A362="","",0)</x:f>
      </x:c>
      <x:c r="U362" s="131" t="str">
        <x:f>IF(A362="","",0)</x:f>
      </x:c>
      <x:c r="V362" s="131" t="str">
        <x:f>IF(A362="","",IF(N362="Paga",0,IF(O362&gt;0,R362,S362)))</x:f>
      </x:c>
      <x:c r="W362" s="131" t="str">
        <x:f>IF(A362="","",ROUND(MAX(D362-F362,0),2))</x:f>
      </x:c>
      <x:c r="X362" s="131" t="str">
        <x:f>IF(A362="","",ROUND(SUM($G362:$G$407),2))</x:f>
      </x:c>
      <x:c r="Y362" s="131" t="str">
        <x:f>IF(A362="","",ROUND(MAX(X362-D362,0),2))</x:f>
      </x:c>
      <x:c r="Z362" s="131" t="str">
        <x:f>IF(A362="","",ROUND(SUM($V362:$V$407),2))</x:f>
      </x:c>
      <x:c r="AA362" s="131" t="str">
        <x:f>IF(A362="","",ROUND(SUM($K362:$K$407)-Z362,2))</x:f>
      </x:c>
      <x:c r="AB362" s="77"/>
      <x:c r="AC362" s="36" t="str">
        <x:f>IF(A362="","",IF(O362&gt;0,"Vencido: saldo da fatura + mora",IF(O362&lt;=0,"Vincendo: VP da parcela financeira; comissão/proteção futuras isentas","")))</x:f>
      </x:c>
    </x:row>
    <x:row r="363">
      <x:c r="A363" s="129" t="str">
        <x:f>IF(ROW()-7&lt;=Contrato!$C$16,ROW()-7,"")</x:f>
      </x:c>
      <x:c r="B363" s="129" t="str">
        <x:f>IF(A363="","",Contrato!$C$16)</x:f>
      </x:c>
      <x:c r="C363" s="130" t="str">
        <x:f>IF(A363="","",IF(AB363&lt;&gt;"",AB363,IF(Contrato!$C$14="Mensal",EDATE(Contrato!$C$13,A363-1),Contrato!$C$13+(A363-1)*IF(Contrato!$C$14="Quinzenal",14,IF(Contrato!$C$14="Semanal",7,1)))))</x:f>
      </x:c>
      <x:c r="D363" s="131" t="str">
        <x:f>IF(A363="","",W362)</x:f>
      </x:c>
      <x:c r="E363" s="131" t="str">
        <x:f>IF(A363="","",ROUND(D363*Simulador!$I$18,2))</x:f>
      </x:c>
      <x:c r="F363" s="131" t="str">
        <x:f>IF(A363="","",ROUND(MIN(D363,MAX(G363-E363,0)),2))</x:f>
      </x:c>
      <x:c r="G363" s="131" t="str">
        <x:f>IF(A363="","",IF(A363&lt;Contrato!$C$16,Contrato!$C$27,Contrato!$C$28))</x:f>
      </x:c>
      <x:c r="H363" s="131" t="str">
        <x:f>IF(A363="","",Contrato!$C$29)</x:f>
      </x:c>
      <x:c r="I363" s="131" t="str">
        <x:f>IF(A363="","",Contrato!$C$30)</x:f>
      </x:c>
      <x:c r="J363" s="131" t="str">
        <x:f>IF(A363="","",Contrato!$C$31)</x:f>
      </x:c>
      <x:c r="K363" s="131" t="str">
        <x:f>IF(A363="","",ROUND(SUM(G363:J363),2))</x:f>
      </x:c>
      <x:c r="L363" s="80"/>
      <x:c r="M363" s="77"/>
      <x:c r="N363" s="29" t="str">
        <x:f>IF(A363="","",IF(L363&gt;=K363,"Paga",IF(L363&gt;0,"Paga parcialmente",IF(C363&lt;$A$5,"Vencida","Prevista"))))</x:f>
      </x:c>
      <x:c r="O363" s="29" t="str">
        <x:f>IF(A363="","",$A$5-C363)</x:f>
      </x:c>
      <x:c r="P363" s="131" t="str">
        <x:f>IF(A363="","",IF(AND(O363&gt;0,MAX(K363-L363,0)&gt;0,N363&lt;&gt;"Paga"),ROUND(MAX(K363-L363,0)*'Parâmetros'!$B$34,2),0))</x:f>
      </x:c>
      <x:c r="Q363" s="131" t="str">
        <x:f>IF(A363="","",IF(AND(O363&gt;0,MAX(K363-L363,0)&gt;0,N363&lt;&gt;"Paga"),ROUND(MAX(K363-L363,0)*'Parâmetros'!$B$35*(O363/'Parâmetros'!$B$33),2),0))</x:f>
      </x:c>
      <x:c r="R363" s="131" t="str">
        <x:f>IF(A363="","",IF(O363&gt;0,ROUND(MAX(K363-L363,0)+P363+Q363,2),0))</x:f>
      </x:c>
      <x:c r="S363" s="131" t="str">
        <x:f>IF(A363="","",IF(OR(N363="Paga",O363&gt;0),0,ROUND(IF(K363=0,0,G363*MAX(K363-L363,0)/K363)/(1+'Parâmetros'!$C$13)^((C363-$A$5)/30),2)))</x:f>
      </x:c>
      <x:c r="T363" s="131" t="str">
        <x:f>IF(A363="","",0)</x:f>
      </x:c>
      <x:c r="U363" s="131" t="str">
        <x:f>IF(A363="","",0)</x:f>
      </x:c>
      <x:c r="V363" s="131" t="str">
        <x:f>IF(A363="","",IF(N363="Paga",0,IF(O363&gt;0,R363,S363)))</x:f>
      </x:c>
      <x:c r="W363" s="131" t="str">
        <x:f>IF(A363="","",ROUND(MAX(D363-F363,0),2))</x:f>
      </x:c>
      <x:c r="X363" s="131" t="str">
        <x:f>IF(A363="","",ROUND(SUM($G363:$G$407),2))</x:f>
      </x:c>
      <x:c r="Y363" s="131" t="str">
        <x:f>IF(A363="","",ROUND(MAX(X363-D363,0),2))</x:f>
      </x:c>
      <x:c r="Z363" s="131" t="str">
        <x:f>IF(A363="","",ROUND(SUM($V363:$V$407),2))</x:f>
      </x:c>
      <x:c r="AA363" s="131" t="str">
        <x:f>IF(A363="","",ROUND(SUM($K363:$K$407)-Z363,2))</x:f>
      </x:c>
      <x:c r="AB363" s="77"/>
      <x:c r="AC363" s="36" t="str">
        <x:f>IF(A363="","",IF(O363&gt;0,"Vencido: saldo da fatura + mora",IF(O363&lt;=0,"Vincendo: VP da parcela financeira; comissão/proteção futuras isentas","")))</x:f>
      </x:c>
    </x:row>
    <x:row r="364">
      <x:c r="A364" s="129" t="str">
        <x:f>IF(ROW()-7&lt;=Contrato!$C$16,ROW()-7,"")</x:f>
      </x:c>
      <x:c r="B364" s="129" t="str">
        <x:f>IF(A364="","",Contrato!$C$16)</x:f>
      </x:c>
      <x:c r="C364" s="130" t="str">
        <x:f>IF(A364="","",IF(AB364&lt;&gt;"",AB364,IF(Contrato!$C$14="Mensal",EDATE(Contrato!$C$13,A364-1),Contrato!$C$13+(A364-1)*IF(Contrato!$C$14="Quinzenal",14,IF(Contrato!$C$14="Semanal",7,1)))))</x:f>
      </x:c>
      <x:c r="D364" s="131" t="str">
        <x:f>IF(A364="","",W363)</x:f>
      </x:c>
      <x:c r="E364" s="131" t="str">
        <x:f>IF(A364="","",ROUND(D364*Simulador!$I$18,2))</x:f>
      </x:c>
      <x:c r="F364" s="131" t="str">
        <x:f>IF(A364="","",ROUND(MIN(D364,MAX(G364-E364,0)),2))</x:f>
      </x:c>
      <x:c r="G364" s="131" t="str">
        <x:f>IF(A364="","",IF(A364&lt;Contrato!$C$16,Contrato!$C$27,Contrato!$C$28))</x:f>
      </x:c>
      <x:c r="H364" s="131" t="str">
        <x:f>IF(A364="","",Contrato!$C$29)</x:f>
      </x:c>
      <x:c r="I364" s="131" t="str">
        <x:f>IF(A364="","",Contrato!$C$30)</x:f>
      </x:c>
      <x:c r="J364" s="131" t="str">
        <x:f>IF(A364="","",Contrato!$C$31)</x:f>
      </x:c>
      <x:c r="K364" s="131" t="str">
        <x:f>IF(A364="","",ROUND(SUM(G364:J364),2))</x:f>
      </x:c>
      <x:c r="L364" s="80"/>
      <x:c r="M364" s="77"/>
      <x:c r="N364" s="29" t="str">
        <x:f>IF(A364="","",IF(L364&gt;=K364,"Paga",IF(L364&gt;0,"Paga parcialmente",IF(C364&lt;$A$5,"Vencida","Prevista"))))</x:f>
      </x:c>
      <x:c r="O364" s="29" t="str">
        <x:f>IF(A364="","",$A$5-C364)</x:f>
      </x:c>
      <x:c r="P364" s="131" t="str">
        <x:f>IF(A364="","",IF(AND(O364&gt;0,MAX(K364-L364,0)&gt;0,N364&lt;&gt;"Paga"),ROUND(MAX(K364-L364,0)*'Parâmetros'!$B$34,2),0))</x:f>
      </x:c>
      <x:c r="Q364" s="131" t="str">
        <x:f>IF(A364="","",IF(AND(O364&gt;0,MAX(K364-L364,0)&gt;0,N364&lt;&gt;"Paga"),ROUND(MAX(K364-L364,0)*'Parâmetros'!$B$35*(O364/'Parâmetros'!$B$33),2),0))</x:f>
      </x:c>
      <x:c r="R364" s="131" t="str">
        <x:f>IF(A364="","",IF(O364&gt;0,ROUND(MAX(K364-L364,0)+P364+Q364,2),0))</x:f>
      </x:c>
      <x:c r="S364" s="131" t="str">
        <x:f>IF(A364="","",IF(OR(N364="Paga",O364&gt;0),0,ROUND(IF(K364=0,0,G364*MAX(K364-L364,0)/K364)/(1+'Parâmetros'!$C$13)^((C364-$A$5)/30),2)))</x:f>
      </x:c>
      <x:c r="T364" s="131" t="str">
        <x:f>IF(A364="","",0)</x:f>
      </x:c>
      <x:c r="U364" s="131" t="str">
        <x:f>IF(A364="","",0)</x:f>
      </x:c>
      <x:c r="V364" s="131" t="str">
        <x:f>IF(A364="","",IF(N364="Paga",0,IF(O364&gt;0,R364,S364)))</x:f>
      </x:c>
      <x:c r="W364" s="131" t="str">
        <x:f>IF(A364="","",ROUND(MAX(D364-F364,0),2))</x:f>
      </x:c>
      <x:c r="X364" s="131" t="str">
        <x:f>IF(A364="","",ROUND(SUM($G364:$G$407),2))</x:f>
      </x:c>
      <x:c r="Y364" s="131" t="str">
        <x:f>IF(A364="","",ROUND(MAX(X364-D364,0),2))</x:f>
      </x:c>
      <x:c r="Z364" s="131" t="str">
        <x:f>IF(A364="","",ROUND(SUM($V364:$V$407),2))</x:f>
      </x:c>
      <x:c r="AA364" s="131" t="str">
        <x:f>IF(A364="","",ROUND(SUM($K364:$K$407)-Z364,2))</x:f>
      </x:c>
      <x:c r="AB364" s="77"/>
      <x:c r="AC364" s="36" t="str">
        <x:f>IF(A364="","",IF(O364&gt;0,"Vencido: saldo da fatura + mora",IF(O364&lt;=0,"Vincendo: VP da parcela financeira; comissão/proteção futuras isentas","")))</x:f>
      </x:c>
    </x:row>
    <x:row r="365">
      <x:c r="A365" s="129" t="str">
        <x:f>IF(ROW()-7&lt;=Contrato!$C$16,ROW()-7,"")</x:f>
      </x:c>
      <x:c r="B365" s="129" t="str">
        <x:f>IF(A365="","",Contrato!$C$16)</x:f>
      </x:c>
      <x:c r="C365" s="130" t="str">
        <x:f>IF(A365="","",IF(AB365&lt;&gt;"",AB365,IF(Contrato!$C$14="Mensal",EDATE(Contrato!$C$13,A365-1),Contrato!$C$13+(A365-1)*IF(Contrato!$C$14="Quinzenal",14,IF(Contrato!$C$14="Semanal",7,1)))))</x:f>
      </x:c>
      <x:c r="D365" s="131" t="str">
        <x:f>IF(A365="","",W364)</x:f>
      </x:c>
      <x:c r="E365" s="131" t="str">
        <x:f>IF(A365="","",ROUND(D365*Simulador!$I$18,2))</x:f>
      </x:c>
      <x:c r="F365" s="131" t="str">
        <x:f>IF(A365="","",ROUND(MIN(D365,MAX(G365-E365,0)),2))</x:f>
      </x:c>
      <x:c r="G365" s="131" t="str">
        <x:f>IF(A365="","",IF(A365&lt;Contrato!$C$16,Contrato!$C$27,Contrato!$C$28))</x:f>
      </x:c>
      <x:c r="H365" s="131" t="str">
        <x:f>IF(A365="","",Contrato!$C$29)</x:f>
      </x:c>
      <x:c r="I365" s="131" t="str">
        <x:f>IF(A365="","",Contrato!$C$30)</x:f>
      </x:c>
      <x:c r="J365" s="131" t="str">
        <x:f>IF(A365="","",Contrato!$C$31)</x:f>
      </x:c>
      <x:c r="K365" s="131" t="str">
        <x:f>IF(A365="","",ROUND(SUM(G365:J365),2))</x:f>
      </x:c>
      <x:c r="L365" s="80"/>
      <x:c r="M365" s="77"/>
      <x:c r="N365" s="29" t="str">
        <x:f>IF(A365="","",IF(L365&gt;=K365,"Paga",IF(L365&gt;0,"Paga parcialmente",IF(C365&lt;$A$5,"Vencida","Prevista"))))</x:f>
      </x:c>
      <x:c r="O365" s="29" t="str">
        <x:f>IF(A365="","",$A$5-C365)</x:f>
      </x:c>
      <x:c r="P365" s="131" t="str">
        <x:f>IF(A365="","",IF(AND(O365&gt;0,MAX(K365-L365,0)&gt;0,N365&lt;&gt;"Paga"),ROUND(MAX(K365-L365,0)*'Parâmetros'!$B$34,2),0))</x:f>
      </x:c>
      <x:c r="Q365" s="131" t="str">
        <x:f>IF(A365="","",IF(AND(O365&gt;0,MAX(K365-L365,0)&gt;0,N365&lt;&gt;"Paga"),ROUND(MAX(K365-L365,0)*'Parâmetros'!$B$35*(O365/'Parâmetros'!$B$33),2),0))</x:f>
      </x:c>
      <x:c r="R365" s="131" t="str">
        <x:f>IF(A365="","",IF(O365&gt;0,ROUND(MAX(K365-L365,0)+P365+Q365,2),0))</x:f>
      </x:c>
      <x:c r="S365" s="131" t="str">
        <x:f>IF(A365="","",IF(OR(N365="Paga",O365&gt;0),0,ROUND(IF(K365=0,0,G365*MAX(K365-L365,0)/K365)/(1+'Parâmetros'!$C$13)^((C365-$A$5)/30),2)))</x:f>
      </x:c>
      <x:c r="T365" s="131" t="str">
        <x:f>IF(A365="","",0)</x:f>
      </x:c>
      <x:c r="U365" s="131" t="str">
        <x:f>IF(A365="","",0)</x:f>
      </x:c>
      <x:c r="V365" s="131" t="str">
        <x:f>IF(A365="","",IF(N365="Paga",0,IF(O365&gt;0,R365,S365)))</x:f>
      </x:c>
      <x:c r="W365" s="131" t="str">
        <x:f>IF(A365="","",ROUND(MAX(D365-F365,0),2))</x:f>
      </x:c>
      <x:c r="X365" s="131" t="str">
        <x:f>IF(A365="","",ROUND(SUM($G365:$G$407),2))</x:f>
      </x:c>
      <x:c r="Y365" s="131" t="str">
        <x:f>IF(A365="","",ROUND(MAX(X365-D365,0),2))</x:f>
      </x:c>
      <x:c r="Z365" s="131" t="str">
        <x:f>IF(A365="","",ROUND(SUM($V365:$V$407),2))</x:f>
      </x:c>
      <x:c r="AA365" s="131" t="str">
        <x:f>IF(A365="","",ROUND(SUM($K365:$K$407)-Z365,2))</x:f>
      </x:c>
      <x:c r="AB365" s="77"/>
      <x:c r="AC365" s="36" t="str">
        <x:f>IF(A365="","",IF(O365&gt;0,"Vencido: saldo da fatura + mora",IF(O365&lt;=0,"Vincendo: VP da parcela financeira; comissão/proteção futuras isentas","")))</x:f>
      </x:c>
    </x:row>
    <x:row r="366">
      <x:c r="A366" s="129" t="str">
        <x:f>IF(ROW()-7&lt;=Contrato!$C$16,ROW()-7,"")</x:f>
      </x:c>
      <x:c r="B366" s="129" t="str">
        <x:f>IF(A366="","",Contrato!$C$16)</x:f>
      </x:c>
      <x:c r="C366" s="130" t="str">
        <x:f>IF(A366="","",IF(AB366&lt;&gt;"",AB366,IF(Contrato!$C$14="Mensal",EDATE(Contrato!$C$13,A366-1),Contrato!$C$13+(A366-1)*IF(Contrato!$C$14="Quinzenal",14,IF(Contrato!$C$14="Semanal",7,1)))))</x:f>
      </x:c>
      <x:c r="D366" s="131" t="str">
        <x:f>IF(A366="","",W365)</x:f>
      </x:c>
      <x:c r="E366" s="131" t="str">
        <x:f>IF(A366="","",ROUND(D366*Simulador!$I$18,2))</x:f>
      </x:c>
      <x:c r="F366" s="131" t="str">
        <x:f>IF(A366="","",ROUND(MIN(D366,MAX(G366-E366,0)),2))</x:f>
      </x:c>
      <x:c r="G366" s="131" t="str">
        <x:f>IF(A366="","",IF(A366&lt;Contrato!$C$16,Contrato!$C$27,Contrato!$C$28))</x:f>
      </x:c>
      <x:c r="H366" s="131" t="str">
        <x:f>IF(A366="","",Contrato!$C$29)</x:f>
      </x:c>
      <x:c r="I366" s="131" t="str">
        <x:f>IF(A366="","",Contrato!$C$30)</x:f>
      </x:c>
      <x:c r="J366" s="131" t="str">
        <x:f>IF(A366="","",Contrato!$C$31)</x:f>
      </x:c>
      <x:c r="K366" s="131" t="str">
        <x:f>IF(A366="","",ROUND(SUM(G366:J366),2))</x:f>
      </x:c>
      <x:c r="L366" s="80"/>
      <x:c r="M366" s="77"/>
      <x:c r="N366" s="29" t="str">
        <x:f>IF(A366="","",IF(L366&gt;=K366,"Paga",IF(L366&gt;0,"Paga parcialmente",IF(C366&lt;$A$5,"Vencida","Prevista"))))</x:f>
      </x:c>
      <x:c r="O366" s="29" t="str">
        <x:f>IF(A366="","",$A$5-C366)</x:f>
      </x:c>
      <x:c r="P366" s="131" t="str">
        <x:f>IF(A366="","",IF(AND(O366&gt;0,MAX(K366-L366,0)&gt;0,N366&lt;&gt;"Paga"),ROUND(MAX(K366-L366,0)*'Parâmetros'!$B$34,2),0))</x:f>
      </x:c>
      <x:c r="Q366" s="131" t="str">
        <x:f>IF(A366="","",IF(AND(O366&gt;0,MAX(K366-L366,0)&gt;0,N366&lt;&gt;"Paga"),ROUND(MAX(K366-L366,0)*'Parâmetros'!$B$35*(O366/'Parâmetros'!$B$33),2),0))</x:f>
      </x:c>
      <x:c r="R366" s="131" t="str">
        <x:f>IF(A366="","",IF(O366&gt;0,ROUND(MAX(K366-L366,0)+P366+Q366,2),0))</x:f>
      </x:c>
      <x:c r="S366" s="131" t="str">
        <x:f>IF(A366="","",IF(OR(N366="Paga",O366&gt;0),0,ROUND(IF(K366=0,0,G366*MAX(K366-L366,0)/K366)/(1+'Parâmetros'!$C$13)^((C366-$A$5)/30),2)))</x:f>
      </x:c>
      <x:c r="T366" s="131" t="str">
        <x:f>IF(A366="","",0)</x:f>
      </x:c>
      <x:c r="U366" s="131" t="str">
        <x:f>IF(A366="","",0)</x:f>
      </x:c>
      <x:c r="V366" s="131" t="str">
        <x:f>IF(A366="","",IF(N366="Paga",0,IF(O366&gt;0,R366,S366)))</x:f>
      </x:c>
      <x:c r="W366" s="131" t="str">
        <x:f>IF(A366="","",ROUND(MAX(D366-F366,0),2))</x:f>
      </x:c>
      <x:c r="X366" s="131" t="str">
        <x:f>IF(A366="","",ROUND(SUM($G366:$G$407),2))</x:f>
      </x:c>
      <x:c r="Y366" s="131" t="str">
        <x:f>IF(A366="","",ROUND(MAX(X366-D366,0),2))</x:f>
      </x:c>
      <x:c r="Z366" s="131" t="str">
        <x:f>IF(A366="","",ROUND(SUM($V366:$V$407),2))</x:f>
      </x:c>
      <x:c r="AA366" s="131" t="str">
        <x:f>IF(A366="","",ROUND(SUM($K366:$K$407)-Z366,2))</x:f>
      </x:c>
      <x:c r="AB366" s="77"/>
      <x:c r="AC366" s="36" t="str">
        <x:f>IF(A366="","",IF(O366&gt;0,"Vencido: saldo da fatura + mora",IF(O366&lt;=0,"Vincendo: VP da parcela financeira; comissão/proteção futuras isentas","")))</x:f>
      </x:c>
    </x:row>
    <x:row r="367">
      <x:c r="A367" s="129" t="str">
        <x:f>IF(ROW()-7&lt;=Contrato!$C$16,ROW()-7,"")</x:f>
      </x:c>
      <x:c r="B367" s="129" t="str">
        <x:f>IF(A367="","",Contrato!$C$16)</x:f>
      </x:c>
      <x:c r="C367" s="130" t="str">
        <x:f>IF(A367="","",IF(AB367&lt;&gt;"",AB367,IF(Contrato!$C$14="Mensal",EDATE(Contrato!$C$13,A367-1),Contrato!$C$13+(A367-1)*IF(Contrato!$C$14="Quinzenal",14,IF(Contrato!$C$14="Semanal",7,1)))))</x:f>
      </x:c>
      <x:c r="D367" s="131" t="str">
        <x:f>IF(A367="","",W366)</x:f>
      </x:c>
      <x:c r="E367" s="131" t="str">
        <x:f>IF(A367="","",ROUND(D367*Simulador!$I$18,2))</x:f>
      </x:c>
      <x:c r="F367" s="131" t="str">
        <x:f>IF(A367="","",ROUND(MIN(D367,MAX(G367-E367,0)),2))</x:f>
      </x:c>
      <x:c r="G367" s="131" t="str">
        <x:f>IF(A367="","",IF(A367&lt;Contrato!$C$16,Contrato!$C$27,Contrato!$C$28))</x:f>
      </x:c>
      <x:c r="H367" s="131" t="str">
        <x:f>IF(A367="","",Contrato!$C$29)</x:f>
      </x:c>
      <x:c r="I367" s="131" t="str">
        <x:f>IF(A367="","",Contrato!$C$30)</x:f>
      </x:c>
      <x:c r="J367" s="131" t="str">
        <x:f>IF(A367="","",Contrato!$C$31)</x:f>
      </x:c>
      <x:c r="K367" s="131" t="str">
        <x:f>IF(A367="","",ROUND(SUM(G367:J367),2))</x:f>
      </x:c>
      <x:c r="L367" s="80"/>
      <x:c r="M367" s="77"/>
      <x:c r="N367" s="29" t="str">
        <x:f>IF(A367="","",IF(L367&gt;=K367,"Paga",IF(L367&gt;0,"Paga parcialmente",IF(C367&lt;$A$5,"Vencida","Prevista"))))</x:f>
      </x:c>
      <x:c r="O367" s="29" t="str">
        <x:f>IF(A367="","",$A$5-C367)</x:f>
      </x:c>
      <x:c r="P367" s="131" t="str">
        <x:f>IF(A367="","",IF(AND(O367&gt;0,MAX(K367-L367,0)&gt;0,N367&lt;&gt;"Paga"),ROUND(MAX(K367-L367,0)*'Parâmetros'!$B$34,2),0))</x:f>
      </x:c>
      <x:c r="Q367" s="131" t="str">
        <x:f>IF(A367="","",IF(AND(O367&gt;0,MAX(K367-L367,0)&gt;0,N367&lt;&gt;"Paga"),ROUND(MAX(K367-L367,0)*'Parâmetros'!$B$35*(O367/'Parâmetros'!$B$33),2),0))</x:f>
      </x:c>
      <x:c r="R367" s="131" t="str">
        <x:f>IF(A367="","",IF(O367&gt;0,ROUND(MAX(K367-L367,0)+P367+Q367,2),0))</x:f>
      </x:c>
      <x:c r="S367" s="131" t="str">
        <x:f>IF(A367="","",IF(OR(N367="Paga",O367&gt;0),0,ROUND(IF(K367=0,0,G367*MAX(K367-L367,0)/K367)/(1+'Parâmetros'!$C$13)^((C367-$A$5)/30),2)))</x:f>
      </x:c>
      <x:c r="T367" s="131" t="str">
        <x:f>IF(A367="","",0)</x:f>
      </x:c>
      <x:c r="U367" s="131" t="str">
        <x:f>IF(A367="","",0)</x:f>
      </x:c>
      <x:c r="V367" s="131" t="str">
        <x:f>IF(A367="","",IF(N367="Paga",0,IF(O367&gt;0,R367,S367)))</x:f>
      </x:c>
      <x:c r="W367" s="131" t="str">
        <x:f>IF(A367="","",ROUND(MAX(D367-F367,0),2))</x:f>
      </x:c>
      <x:c r="X367" s="131" t="str">
        <x:f>IF(A367="","",ROUND(SUM($G367:$G$407),2))</x:f>
      </x:c>
      <x:c r="Y367" s="131" t="str">
        <x:f>IF(A367="","",ROUND(MAX(X367-D367,0),2))</x:f>
      </x:c>
      <x:c r="Z367" s="131" t="str">
        <x:f>IF(A367="","",ROUND(SUM($V367:$V$407),2))</x:f>
      </x:c>
      <x:c r="AA367" s="131" t="str">
        <x:f>IF(A367="","",ROUND(SUM($K367:$K$407)-Z367,2))</x:f>
      </x:c>
      <x:c r="AB367" s="77"/>
      <x:c r="AC367" s="36" t="str">
        <x:f>IF(A367="","",IF(O367&gt;0,"Vencido: saldo da fatura + mora",IF(O367&lt;=0,"Vincendo: VP da parcela financeira; comissão/proteção futuras isentas","")))</x:f>
      </x:c>
    </x:row>
    <x:row r="368">
      <x:c r="A368" s="129" t="str">
        <x:f>IF(ROW()-7&lt;=Contrato!$C$16,ROW()-7,"")</x:f>
      </x:c>
      <x:c r="B368" s="129" t="str">
        <x:f>IF(A368="","",Contrato!$C$16)</x:f>
      </x:c>
      <x:c r="C368" s="130" t="str">
        <x:f>IF(A368="","",IF(AB368&lt;&gt;"",AB368,IF(Contrato!$C$14="Mensal",EDATE(Contrato!$C$13,A368-1),Contrato!$C$13+(A368-1)*IF(Contrato!$C$14="Quinzenal",14,IF(Contrato!$C$14="Semanal",7,1)))))</x:f>
      </x:c>
      <x:c r="D368" s="131" t="str">
        <x:f>IF(A368="","",W367)</x:f>
      </x:c>
      <x:c r="E368" s="131" t="str">
        <x:f>IF(A368="","",ROUND(D368*Simulador!$I$18,2))</x:f>
      </x:c>
      <x:c r="F368" s="131" t="str">
        <x:f>IF(A368="","",ROUND(MIN(D368,MAX(G368-E368,0)),2))</x:f>
      </x:c>
      <x:c r="G368" s="131" t="str">
        <x:f>IF(A368="","",IF(A368&lt;Contrato!$C$16,Contrato!$C$27,Contrato!$C$28))</x:f>
      </x:c>
      <x:c r="H368" s="131" t="str">
        <x:f>IF(A368="","",Contrato!$C$29)</x:f>
      </x:c>
      <x:c r="I368" s="131" t="str">
        <x:f>IF(A368="","",Contrato!$C$30)</x:f>
      </x:c>
      <x:c r="J368" s="131" t="str">
        <x:f>IF(A368="","",Contrato!$C$31)</x:f>
      </x:c>
      <x:c r="K368" s="131" t="str">
        <x:f>IF(A368="","",ROUND(SUM(G368:J368),2))</x:f>
      </x:c>
      <x:c r="L368" s="80"/>
      <x:c r="M368" s="77"/>
      <x:c r="N368" s="29" t="str">
        <x:f>IF(A368="","",IF(L368&gt;=K368,"Paga",IF(L368&gt;0,"Paga parcialmente",IF(C368&lt;$A$5,"Vencida","Prevista"))))</x:f>
      </x:c>
      <x:c r="O368" s="29" t="str">
        <x:f>IF(A368="","",$A$5-C368)</x:f>
      </x:c>
      <x:c r="P368" s="131" t="str">
        <x:f>IF(A368="","",IF(AND(O368&gt;0,MAX(K368-L368,0)&gt;0,N368&lt;&gt;"Paga"),ROUND(MAX(K368-L368,0)*'Parâmetros'!$B$34,2),0))</x:f>
      </x:c>
      <x:c r="Q368" s="131" t="str">
        <x:f>IF(A368="","",IF(AND(O368&gt;0,MAX(K368-L368,0)&gt;0,N368&lt;&gt;"Paga"),ROUND(MAX(K368-L368,0)*'Parâmetros'!$B$35*(O368/'Parâmetros'!$B$33),2),0))</x:f>
      </x:c>
      <x:c r="R368" s="131" t="str">
        <x:f>IF(A368="","",IF(O368&gt;0,ROUND(MAX(K368-L368,0)+P368+Q368,2),0))</x:f>
      </x:c>
      <x:c r="S368" s="131" t="str">
        <x:f>IF(A368="","",IF(OR(N368="Paga",O368&gt;0),0,ROUND(IF(K368=0,0,G368*MAX(K368-L368,0)/K368)/(1+'Parâmetros'!$C$13)^((C368-$A$5)/30),2)))</x:f>
      </x:c>
      <x:c r="T368" s="131" t="str">
        <x:f>IF(A368="","",0)</x:f>
      </x:c>
      <x:c r="U368" s="131" t="str">
        <x:f>IF(A368="","",0)</x:f>
      </x:c>
      <x:c r="V368" s="131" t="str">
        <x:f>IF(A368="","",IF(N368="Paga",0,IF(O368&gt;0,R368,S368)))</x:f>
      </x:c>
      <x:c r="W368" s="131" t="str">
        <x:f>IF(A368="","",ROUND(MAX(D368-F368,0),2))</x:f>
      </x:c>
      <x:c r="X368" s="131" t="str">
        <x:f>IF(A368="","",ROUND(SUM($G368:$G$407),2))</x:f>
      </x:c>
      <x:c r="Y368" s="131" t="str">
        <x:f>IF(A368="","",ROUND(MAX(X368-D368,0),2))</x:f>
      </x:c>
      <x:c r="Z368" s="131" t="str">
        <x:f>IF(A368="","",ROUND(SUM($V368:$V$407),2))</x:f>
      </x:c>
      <x:c r="AA368" s="131" t="str">
        <x:f>IF(A368="","",ROUND(SUM($K368:$K$407)-Z368,2))</x:f>
      </x:c>
      <x:c r="AB368" s="77"/>
      <x:c r="AC368" s="36" t="str">
        <x:f>IF(A368="","",IF(O368&gt;0,"Vencido: saldo da fatura + mora",IF(O368&lt;=0,"Vincendo: VP da parcela financeira; comissão/proteção futuras isentas","")))</x:f>
      </x:c>
    </x:row>
    <x:row r="369">
      <x:c r="A369" s="129" t="str">
        <x:f>IF(ROW()-7&lt;=Contrato!$C$16,ROW()-7,"")</x:f>
      </x:c>
      <x:c r="B369" s="129" t="str">
        <x:f>IF(A369="","",Contrato!$C$16)</x:f>
      </x:c>
      <x:c r="C369" s="130" t="str">
        <x:f>IF(A369="","",IF(AB369&lt;&gt;"",AB369,IF(Contrato!$C$14="Mensal",EDATE(Contrato!$C$13,A369-1),Contrato!$C$13+(A369-1)*IF(Contrato!$C$14="Quinzenal",14,IF(Contrato!$C$14="Semanal",7,1)))))</x:f>
      </x:c>
      <x:c r="D369" s="131" t="str">
        <x:f>IF(A369="","",W368)</x:f>
      </x:c>
      <x:c r="E369" s="131" t="str">
        <x:f>IF(A369="","",ROUND(D369*Simulador!$I$18,2))</x:f>
      </x:c>
      <x:c r="F369" s="131" t="str">
        <x:f>IF(A369="","",ROUND(MIN(D369,MAX(G369-E369,0)),2))</x:f>
      </x:c>
      <x:c r="G369" s="131" t="str">
        <x:f>IF(A369="","",IF(A369&lt;Contrato!$C$16,Contrato!$C$27,Contrato!$C$28))</x:f>
      </x:c>
      <x:c r="H369" s="131" t="str">
        <x:f>IF(A369="","",Contrato!$C$29)</x:f>
      </x:c>
      <x:c r="I369" s="131" t="str">
        <x:f>IF(A369="","",Contrato!$C$30)</x:f>
      </x:c>
      <x:c r="J369" s="131" t="str">
        <x:f>IF(A369="","",Contrato!$C$31)</x:f>
      </x:c>
      <x:c r="K369" s="131" t="str">
        <x:f>IF(A369="","",ROUND(SUM(G369:J369),2))</x:f>
      </x:c>
      <x:c r="L369" s="80"/>
      <x:c r="M369" s="77"/>
      <x:c r="N369" s="29" t="str">
        <x:f>IF(A369="","",IF(L369&gt;=K369,"Paga",IF(L369&gt;0,"Paga parcialmente",IF(C369&lt;$A$5,"Vencida","Prevista"))))</x:f>
      </x:c>
      <x:c r="O369" s="29" t="str">
        <x:f>IF(A369="","",$A$5-C369)</x:f>
      </x:c>
      <x:c r="P369" s="131" t="str">
        <x:f>IF(A369="","",IF(AND(O369&gt;0,MAX(K369-L369,0)&gt;0,N369&lt;&gt;"Paga"),ROUND(MAX(K369-L369,0)*'Parâmetros'!$B$34,2),0))</x:f>
      </x:c>
      <x:c r="Q369" s="131" t="str">
        <x:f>IF(A369="","",IF(AND(O369&gt;0,MAX(K369-L369,0)&gt;0,N369&lt;&gt;"Paga"),ROUND(MAX(K369-L369,0)*'Parâmetros'!$B$35*(O369/'Parâmetros'!$B$33),2),0))</x:f>
      </x:c>
      <x:c r="R369" s="131" t="str">
        <x:f>IF(A369="","",IF(O369&gt;0,ROUND(MAX(K369-L369,0)+P369+Q369,2),0))</x:f>
      </x:c>
      <x:c r="S369" s="131" t="str">
        <x:f>IF(A369="","",IF(OR(N369="Paga",O369&gt;0),0,ROUND(IF(K369=0,0,G369*MAX(K369-L369,0)/K369)/(1+'Parâmetros'!$C$13)^((C369-$A$5)/30),2)))</x:f>
      </x:c>
      <x:c r="T369" s="131" t="str">
        <x:f>IF(A369="","",0)</x:f>
      </x:c>
      <x:c r="U369" s="131" t="str">
        <x:f>IF(A369="","",0)</x:f>
      </x:c>
      <x:c r="V369" s="131" t="str">
        <x:f>IF(A369="","",IF(N369="Paga",0,IF(O369&gt;0,R369,S369)))</x:f>
      </x:c>
      <x:c r="W369" s="131" t="str">
        <x:f>IF(A369="","",ROUND(MAX(D369-F369,0),2))</x:f>
      </x:c>
      <x:c r="X369" s="131" t="str">
        <x:f>IF(A369="","",ROUND(SUM($G369:$G$407),2))</x:f>
      </x:c>
      <x:c r="Y369" s="131" t="str">
        <x:f>IF(A369="","",ROUND(MAX(X369-D369,0),2))</x:f>
      </x:c>
      <x:c r="Z369" s="131" t="str">
        <x:f>IF(A369="","",ROUND(SUM($V369:$V$407),2))</x:f>
      </x:c>
      <x:c r="AA369" s="131" t="str">
        <x:f>IF(A369="","",ROUND(SUM($K369:$K$407)-Z369,2))</x:f>
      </x:c>
      <x:c r="AB369" s="77"/>
      <x:c r="AC369" s="36" t="str">
        <x:f>IF(A369="","",IF(O369&gt;0,"Vencido: saldo da fatura + mora",IF(O369&lt;=0,"Vincendo: VP da parcela financeira; comissão/proteção futuras isentas","")))</x:f>
      </x:c>
    </x:row>
    <x:row r="370">
      <x:c r="A370" s="129" t="str">
        <x:f>IF(ROW()-7&lt;=Contrato!$C$16,ROW()-7,"")</x:f>
      </x:c>
      <x:c r="B370" s="129" t="str">
        <x:f>IF(A370="","",Contrato!$C$16)</x:f>
      </x:c>
      <x:c r="C370" s="130" t="str">
        <x:f>IF(A370="","",IF(AB370&lt;&gt;"",AB370,IF(Contrato!$C$14="Mensal",EDATE(Contrato!$C$13,A370-1),Contrato!$C$13+(A370-1)*IF(Contrato!$C$14="Quinzenal",14,IF(Contrato!$C$14="Semanal",7,1)))))</x:f>
      </x:c>
      <x:c r="D370" s="131" t="str">
        <x:f>IF(A370="","",W369)</x:f>
      </x:c>
      <x:c r="E370" s="131" t="str">
        <x:f>IF(A370="","",ROUND(D370*Simulador!$I$18,2))</x:f>
      </x:c>
      <x:c r="F370" s="131" t="str">
        <x:f>IF(A370="","",ROUND(MIN(D370,MAX(G370-E370,0)),2))</x:f>
      </x:c>
      <x:c r="G370" s="131" t="str">
        <x:f>IF(A370="","",IF(A370&lt;Contrato!$C$16,Contrato!$C$27,Contrato!$C$28))</x:f>
      </x:c>
      <x:c r="H370" s="131" t="str">
        <x:f>IF(A370="","",Contrato!$C$29)</x:f>
      </x:c>
      <x:c r="I370" s="131" t="str">
        <x:f>IF(A370="","",Contrato!$C$30)</x:f>
      </x:c>
      <x:c r="J370" s="131" t="str">
        <x:f>IF(A370="","",Contrato!$C$31)</x:f>
      </x:c>
      <x:c r="K370" s="131" t="str">
        <x:f>IF(A370="","",ROUND(SUM(G370:J370),2))</x:f>
      </x:c>
      <x:c r="L370" s="80"/>
      <x:c r="M370" s="77"/>
      <x:c r="N370" s="29" t="str">
        <x:f>IF(A370="","",IF(L370&gt;=K370,"Paga",IF(L370&gt;0,"Paga parcialmente",IF(C370&lt;$A$5,"Vencida","Prevista"))))</x:f>
      </x:c>
      <x:c r="O370" s="29" t="str">
        <x:f>IF(A370="","",$A$5-C370)</x:f>
      </x:c>
      <x:c r="P370" s="131" t="str">
        <x:f>IF(A370="","",IF(AND(O370&gt;0,MAX(K370-L370,0)&gt;0,N370&lt;&gt;"Paga"),ROUND(MAX(K370-L370,0)*'Parâmetros'!$B$34,2),0))</x:f>
      </x:c>
      <x:c r="Q370" s="131" t="str">
        <x:f>IF(A370="","",IF(AND(O370&gt;0,MAX(K370-L370,0)&gt;0,N370&lt;&gt;"Paga"),ROUND(MAX(K370-L370,0)*'Parâmetros'!$B$35*(O370/'Parâmetros'!$B$33),2),0))</x:f>
      </x:c>
      <x:c r="R370" s="131" t="str">
        <x:f>IF(A370="","",IF(O370&gt;0,ROUND(MAX(K370-L370,0)+P370+Q370,2),0))</x:f>
      </x:c>
      <x:c r="S370" s="131" t="str">
        <x:f>IF(A370="","",IF(OR(N370="Paga",O370&gt;0),0,ROUND(IF(K370=0,0,G370*MAX(K370-L370,0)/K370)/(1+'Parâmetros'!$C$13)^((C370-$A$5)/30),2)))</x:f>
      </x:c>
      <x:c r="T370" s="131" t="str">
        <x:f>IF(A370="","",0)</x:f>
      </x:c>
      <x:c r="U370" s="131" t="str">
        <x:f>IF(A370="","",0)</x:f>
      </x:c>
      <x:c r="V370" s="131" t="str">
        <x:f>IF(A370="","",IF(N370="Paga",0,IF(O370&gt;0,R370,S370)))</x:f>
      </x:c>
      <x:c r="W370" s="131" t="str">
        <x:f>IF(A370="","",ROUND(MAX(D370-F370,0),2))</x:f>
      </x:c>
      <x:c r="X370" s="131" t="str">
        <x:f>IF(A370="","",ROUND(SUM($G370:$G$407),2))</x:f>
      </x:c>
      <x:c r="Y370" s="131" t="str">
        <x:f>IF(A370="","",ROUND(MAX(X370-D370,0),2))</x:f>
      </x:c>
      <x:c r="Z370" s="131" t="str">
        <x:f>IF(A370="","",ROUND(SUM($V370:$V$407),2))</x:f>
      </x:c>
      <x:c r="AA370" s="131" t="str">
        <x:f>IF(A370="","",ROUND(SUM($K370:$K$407)-Z370,2))</x:f>
      </x:c>
      <x:c r="AB370" s="77"/>
      <x:c r="AC370" s="36" t="str">
        <x:f>IF(A370="","",IF(O370&gt;0,"Vencido: saldo da fatura + mora",IF(O370&lt;=0,"Vincendo: VP da parcela financeira; comissão/proteção futuras isentas","")))</x:f>
      </x:c>
    </x:row>
    <x:row r="371">
      <x:c r="A371" s="129" t="str">
        <x:f>IF(ROW()-7&lt;=Contrato!$C$16,ROW()-7,"")</x:f>
      </x:c>
      <x:c r="B371" s="129" t="str">
        <x:f>IF(A371="","",Contrato!$C$16)</x:f>
      </x:c>
      <x:c r="C371" s="130" t="str">
        <x:f>IF(A371="","",IF(AB371&lt;&gt;"",AB371,IF(Contrato!$C$14="Mensal",EDATE(Contrato!$C$13,A371-1),Contrato!$C$13+(A371-1)*IF(Contrato!$C$14="Quinzenal",14,IF(Contrato!$C$14="Semanal",7,1)))))</x:f>
      </x:c>
      <x:c r="D371" s="131" t="str">
        <x:f>IF(A371="","",W370)</x:f>
      </x:c>
      <x:c r="E371" s="131" t="str">
        <x:f>IF(A371="","",ROUND(D371*Simulador!$I$18,2))</x:f>
      </x:c>
      <x:c r="F371" s="131" t="str">
        <x:f>IF(A371="","",ROUND(MIN(D371,MAX(G371-E371,0)),2))</x:f>
      </x:c>
      <x:c r="G371" s="131" t="str">
        <x:f>IF(A371="","",IF(A371&lt;Contrato!$C$16,Contrato!$C$27,Contrato!$C$28))</x:f>
      </x:c>
      <x:c r="H371" s="131" t="str">
        <x:f>IF(A371="","",Contrato!$C$29)</x:f>
      </x:c>
      <x:c r="I371" s="131" t="str">
        <x:f>IF(A371="","",Contrato!$C$30)</x:f>
      </x:c>
      <x:c r="J371" s="131" t="str">
        <x:f>IF(A371="","",Contrato!$C$31)</x:f>
      </x:c>
      <x:c r="K371" s="131" t="str">
        <x:f>IF(A371="","",ROUND(SUM(G371:J371),2))</x:f>
      </x:c>
      <x:c r="L371" s="80"/>
      <x:c r="M371" s="77"/>
      <x:c r="N371" s="29" t="str">
        <x:f>IF(A371="","",IF(L371&gt;=K371,"Paga",IF(L371&gt;0,"Paga parcialmente",IF(C371&lt;$A$5,"Vencida","Prevista"))))</x:f>
      </x:c>
      <x:c r="O371" s="29" t="str">
        <x:f>IF(A371="","",$A$5-C371)</x:f>
      </x:c>
      <x:c r="P371" s="131" t="str">
        <x:f>IF(A371="","",IF(AND(O371&gt;0,MAX(K371-L371,0)&gt;0,N371&lt;&gt;"Paga"),ROUND(MAX(K371-L371,0)*'Parâmetros'!$B$34,2),0))</x:f>
      </x:c>
      <x:c r="Q371" s="131" t="str">
        <x:f>IF(A371="","",IF(AND(O371&gt;0,MAX(K371-L371,0)&gt;0,N371&lt;&gt;"Paga"),ROUND(MAX(K371-L371,0)*'Parâmetros'!$B$35*(O371/'Parâmetros'!$B$33),2),0))</x:f>
      </x:c>
      <x:c r="R371" s="131" t="str">
        <x:f>IF(A371="","",IF(O371&gt;0,ROUND(MAX(K371-L371,0)+P371+Q371,2),0))</x:f>
      </x:c>
      <x:c r="S371" s="131" t="str">
        <x:f>IF(A371="","",IF(OR(N371="Paga",O371&gt;0),0,ROUND(IF(K371=0,0,G371*MAX(K371-L371,0)/K371)/(1+'Parâmetros'!$C$13)^((C371-$A$5)/30),2)))</x:f>
      </x:c>
      <x:c r="T371" s="131" t="str">
        <x:f>IF(A371="","",0)</x:f>
      </x:c>
      <x:c r="U371" s="131" t="str">
        <x:f>IF(A371="","",0)</x:f>
      </x:c>
      <x:c r="V371" s="131" t="str">
        <x:f>IF(A371="","",IF(N371="Paga",0,IF(O371&gt;0,R371,S371)))</x:f>
      </x:c>
      <x:c r="W371" s="131" t="str">
        <x:f>IF(A371="","",ROUND(MAX(D371-F371,0),2))</x:f>
      </x:c>
      <x:c r="X371" s="131" t="str">
        <x:f>IF(A371="","",ROUND(SUM($G371:$G$407),2))</x:f>
      </x:c>
      <x:c r="Y371" s="131" t="str">
        <x:f>IF(A371="","",ROUND(MAX(X371-D371,0),2))</x:f>
      </x:c>
      <x:c r="Z371" s="131" t="str">
        <x:f>IF(A371="","",ROUND(SUM($V371:$V$407),2))</x:f>
      </x:c>
      <x:c r="AA371" s="131" t="str">
        <x:f>IF(A371="","",ROUND(SUM($K371:$K$407)-Z371,2))</x:f>
      </x:c>
      <x:c r="AB371" s="77"/>
      <x:c r="AC371" s="36" t="str">
        <x:f>IF(A371="","",IF(O371&gt;0,"Vencido: saldo da fatura + mora",IF(O371&lt;=0,"Vincendo: VP da parcela financeira; comissão/proteção futuras isentas","")))</x:f>
      </x:c>
    </x:row>
    <x:row r="372">
      <x:c r="A372" s="129" t="str">
        <x:f>IF(ROW()-7&lt;=Contrato!$C$16,ROW()-7,"")</x:f>
      </x:c>
      <x:c r="B372" s="129" t="str">
        <x:f>IF(A372="","",Contrato!$C$16)</x:f>
      </x:c>
      <x:c r="C372" s="130" t="str">
        <x:f>IF(A372="","",IF(AB372&lt;&gt;"",AB372,IF(Contrato!$C$14="Mensal",EDATE(Contrato!$C$13,A372-1),Contrato!$C$13+(A372-1)*IF(Contrato!$C$14="Quinzenal",14,IF(Contrato!$C$14="Semanal",7,1)))))</x:f>
      </x:c>
      <x:c r="D372" s="131" t="str">
        <x:f>IF(A372="","",W371)</x:f>
      </x:c>
      <x:c r="E372" s="131" t="str">
        <x:f>IF(A372="","",ROUND(D372*Simulador!$I$18,2))</x:f>
      </x:c>
      <x:c r="F372" s="131" t="str">
        <x:f>IF(A372="","",ROUND(MIN(D372,MAX(G372-E372,0)),2))</x:f>
      </x:c>
      <x:c r="G372" s="131" t="str">
        <x:f>IF(A372="","",IF(A372&lt;Contrato!$C$16,Contrato!$C$27,Contrato!$C$28))</x:f>
      </x:c>
      <x:c r="H372" s="131" t="str">
        <x:f>IF(A372="","",Contrato!$C$29)</x:f>
      </x:c>
      <x:c r="I372" s="131" t="str">
        <x:f>IF(A372="","",Contrato!$C$30)</x:f>
      </x:c>
      <x:c r="J372" s="131" t="str">
        <x:f>IF(A372="","",Contrato!$C$31)</x:f>
      </x:c>
      <x:c r="K372" s="131" t="str">
        <x:f>IF(A372="","",ROUND(SUM(G372:J372),2))</x:f>
      </x:c>
      <x:c r="L372" s="80"/>
      <x:c r="M372" s="77"/>
      <x:c r="N372" s="29" t="str">
        <x:f>IF(A372="","",IF(L372&gt;=K372,"Paga",IF(L372&gt;0,"Paga parcialmente",IF(C372&lt;$A$5,"Vencida","Prevista"))))</x:f>
      </x:c>
      <x:c r="O372" s="29" t="str">
        <x:f>IF(A372="","",$A$5-C372)</x:f>
      </x:c>
      <x:c r="P372" s="131" t="str">
        <x:f>IF(A372="","",IF(AND(O372&gt;0,MAX(K372-L372,0)&gt;0,N372&lt;&gt;"Paga"),ROUND(MAX(K372-L372,0)*'Parâmetros'!$B$34,2),0))</x:f>
      </x:c>
      <x:c r="Q372" s="131" t="str">
        <x:f>IF(A372="","",IF(AND(O372&gt;0,MAX(K372-L372,0)&gt;0,N372&lt;&gt;"Paga"),ROUND(MAX(K372-L372,0)*'Parâmetros'!$B$35*(O372/'Parâmetros'!$B$33),2),0))</x:f>
      </x:c>
      <x:c r="R372" s="131" t="str">
        <x:f>IF(A372="","",IF(O372&gt;0,ROUND(MAX(K372-L372,0)+P372+Q372,2),0))</x:f>
      </x:c>
      <x:c r="S372" s="131" t="str">
        <x:f>IF(A372="","",IF(OR(N372="Paga",O372&gt;0),0,ROUND(IF(K372=0,0,G372*MAX(K372-L372,0)/K372)/(1+'Parâmetros'!$C$13)^((C372-$A$5)/30),2)))</x:f>
      </x:c>
      <x:c r="T372" s="131" t="str">
        <x:f>IF(A372="","",0)</x:f>
      </x:c>
      <x:c r="U372" s="131" t="str">
        <x:f>IF(A372="","",0)</x:f>
      </x:c>
      <x:c r="V372" s="131" t="str">
        <x:f>IF(A372="","",IF(N372="Paga",0,IF(O372&gt;0,R372,S372)))</x:f>
      </x:c>
      <x:c r="W372" s="131" t="str">
        <x:f>IF(A372="","",ROUND(MAX(D372-F372,0),2))</x:f>
      </x:c>
      <x:c r="X372" s="131" t="str">
        <x:f>IF(A372="","",ROUND(SUM($G372:$G$407),2))</x:f>
      </x:c>
      <x:c r="Y372" s="131" t="str">
        <x:f>IF(A372="","",ROUND(MAX(X372-D372,0),2))</x:f>
      </x:c>
      <x:c r="Z372" s="131" t="str">
        <x:f>IF(A372="","",ROUND(SUM($V372:$V$407),2))</x:f>
      </x:c>
      <x:c r="AA372" s="131" t="str">
        <x:f>IF(A372="","",ROUND(SUM($K372:$K$407)-Z372,2))</x:f>
      </x:c>
      <x:c r="AB372" s="77"/>
      <x:c r="AC372" s="36" t="str">
        <x:f>IF(A372="","",IF(O372&gt;0,"Vencido: saldo da fatura + mora",IF(O372&lt;=0,"Vincendo: VP da parcela financeira; comissão/proteção futuras isentas","")))</x:f>
      </x:c>
    </x:row>
    <x:row r="373">
      <x:c r="A373" s="129" t="str">
        <x:f>IF(ROW()-7&lt;=Contrato!$C$16,ROW()-7,"")</x:f>
      </x:c>
      <x:c r="B373" s="129" t="str">
        <x:f>IF(A373="","",Contrato!$C$16)</x:f>
      </x:c>
      <x:c r="C373" s="130" t="str">
        <x:f>IF(A373="","",IF(AB373&lt;&gt;"",AB373,IF(Contrato!$C$14="Mensal",EDATE(Contrato!$C$13,A373-1),Contrato!$C$13+(A373-1)*IF(Contrato!$C$14="Quinzenal",14,IF(Contrato!$C$14="Semanal",7,1)))))</x:f>
      </x:c>
      <x:c r="D373" s="131" t="str">
        <x:f>IF(A373="","",W372)</x:f>
      </x:c>
      <x:c r="E373" s="131" t="str">
        <x:f>IF(A373="","",ROUND(D373*Simulador!$I$18,2))</x:f>
      </x:c>
      <x:c r="F373" s="131" t="str">
        <x:f>IF(A373="","",ROUND(MIN(D373,MAX(G373-E373,0)),2))</x:f>
      </x:c>
      <x:c r="G373" s="131" t="str">
        <x:f>IF(A373="","",IF(A373&lt;Contrato!$C$16,Contrato!$C$27,Contrato!$C$28))</x:f>
      </x:c>
      <x:c r="H373" s="131" t="str">
        <x:f>IF(A373="","",Contrato!$C$29)</x:f>
      </x:c>
      <x:c r="I373" s="131" t="str">
        <x:f>IF(A373="","",Contrato!$C$30)</x:f>
      </x:c>
      <x:c r="J373" s="131" t="str">
        <x:f>IF(A373="","",Contrato!$C$31)</x:f>
      </x:c>
      <x:c r="K373" s="131" t="str">
        <x:f>IF(A373="","",ROUND(SUM(G373:J373),2))</x:f>
      </x:c>
      <x:c r="L373" s="80"/>
      <x:c r="M373" s="77"/>
      <x:c r="N373" s="29" t="str">
        <x:f>IF(A373="","",IF(L373&gt;=K373,"Paga",IF(L373&gt;0,"Paga parcialmente",IF(C373&lt;$A$5,"Vencida","Prevista"))))</x:f>
      </x:c>
      <x:c r="O373" s="29" t="str">
        <x:f>IF(A373="","",$A$5-C373)</x:f>
      </x:c>
      <x:c r="P373" s="131" t="str">
        <x:f>IF(A373="","",IF(AND(O373&gt;0,MAX(K373-L373,0)&gt;0,N373&lt;&gt;"Paga"),ROUND(MAX(K373-L373,0)*'Parâmetros'!$B$34,2),0))</x:f>
      </x:c>
      <x:c r="Q373" s="131" t="str">
        <x:f>IF(A373="","",IF(AND(O373&gt;0,MAX(K373-L373,0)&gt;0,N373&lt;&gt;"Paga"),ROUND(MAX(K373-L373,0)*'Parâmetros'!$B$35*(O373/'Parâmetros'!$B$33),2),0))</x:f>
      </x:c>
      <x:c r="R373" s="131" t="str">
        <x:f>IF(A373="","",IF(O373&gt;0,ROUND(MAX(K373-L373,0)+P373+Q373,2),0))</x:f>
      </x:c>
      <x:c r="S373" s="131" t="str">
        <x:f>IF(A373="","",IF(OR(N373="Paga",O373&gt;0),0,ROUND(IF(K373=0,0,G373*MAX(K373-L373,0)/K373)/(1+'Parâmetros'!$C$13)^((C373-$A$5)/30),2)))</x:f>
      </x:c>
      <x:c r="T373" s="131" t="str">
        <x:f>IF(A373="","",0)</x:f>
      </x:c>
      <x:c r="U373" s="131" t="str">
        <x:f>IF(A373="","",0)</x:f>
      </x:c>
      <x:c r="V373" s="131" t="str">
        <x:f>IF(A373="","",IF(N373="Paga",0,IF(O373&gt;0,R373,S373)))</x:f>
      </x:c>
      <x:c r="W373" s="131" t="str">
        <x:f>IF(A373="","",ROUND(MAX(D373-F373,0),2))</x:f>
      </x:c>
      <x:c r="X373" s="131" t="str">
        <x:f>IF(A373="","",ROUND(SUM($G373:$G$407),2))</x:f>
      </x:c>
      <x:c r="Y373" s="131" t="str">
        <x:f>IF(A373="","",ROUND(MAX(X373-D373,0),2))</x:f>
      </x:c>
      <x:c r="Z373" s="131" t="str">
        <x:f>IF(A373="","",ROUND(SUM($V373:$V$407),2))</x:f>
      </x:c>
      <x:c r="AA373" s="131" t="str">
        <x:f>IF(A373="","",ROUND(SUM($K373:$K$407)-Z373,2))</x:f>
      </x:c>
      <x:c r="AB373" s="77"/>
      <x:c r="AC373" s="36" t="str">
        <x:f>IF(A373="","",IF(O373&gt;0,"Vencido: saldo da fatura + mora",IF(O373&lt;=0,"Vincendo: VP da parcela financeira; comissão/proteção futuras isentas","")))</x:f>
      </x:c>
    </x:row>
    <x:row r="374">
      <x:c r="A374" s="129" t="str">
        <x:f>IF(ROW()-7&lt;=Contrato!$C$16,ROW()-7,"")</x:f>
      </x:c>
      <x:c r="B374" s="129" t="str">
        <x:f>IF(A374="","",Contrato!$C$16)</x:f>
      </x:c>
      <x:c r="C374" s="130" t="str">
        <x:f>IF(A374="","",IF(AB374&lt;&gt;"",AB374,IF(Contrato!$C$14="Mensal",EDATE(Contrato!$C$13,A374-1),Contrato!$C$13+(A374-1)*IF(Contrato!$C$14="Quinzenal",14,IF(Contrato!$C$14="Semanal",7,1)))))</x:f>
      </x:c>
      <x:c r="D374" s="131" t="str">
        <x:f>IF(A374="","",W373)</x:f>
      </x:c>
      <x:c r="E374" s="131" t="str">
        <x:f>IF(A374="","",ROUND(D374*Simulador!$I$18,2))</x:f>
      </x:c>
      <x:c r="F374" s="131" t="str">
        <x:f>IF(A374="","",ROUND(MIN(D374,MAX(G374-E374,0)),2))</x:f>
      </x:c>
      <x:c r="G374" s="131" t="str">
        <x:f>IF(A374="","",IF(A374&lt;Contrato!$C$16,Contrato!$C$27,Contrato!$C$28))</x:f>
      </x:c>
      <x:c r="H374" s="131" t="str">
        <x:f>IF(A374="","",Contrato!$C$29)</x:f>
      </x:c>
      <x:c r="I374" s="131" t="str">
        <x:f>IF(A374="","",Contrato!$C$30)</x:f>
      </x:c>
      <x:c r="J374" s="131" t="str">
        <x:f>IF(A374="","",Contrato!$C$31)</x:f>
      </x:c>
      <x:c r="K374" s="131" t="str">
        <x:f>IF(A374="","",ROUND(SUM(G374:J374),2))</x:f>
      </x:c>
      <x:c r="L374" s="80"/>
      <x:c r="M374" s="77"/>
      <x:c r="N374" s="29" t="str">
        <x:f>IF(A374="","",IF(L374&gt;=K374,"Paga",IF(L374&gt;0,"Paga parcialmente",IF(C374&lt;$A$5,"Vencida","Prevista"))))</x:f>
      </x:c>
      <x:c r="O374" s="29" t="str">
        <x:f>IF(A374="","",$A$5-C374)</x:f>
      </x:c>
      <x:c r="P374" s="131" t="str">
        <x:f>IF(A374="","",IF(AND(O374&gt;0,MAX(K374-L374,0)&gt;0,N374&lt;&gt;"Paga"),ROUND(MAX(K374-L374,0)*'Parâmetros'!$B$34,2),0))</x:f>
      </x:c>
      <x:c r="Q374" s="131" t="str">
        <x:f>IF(A374="","",IF(AND(O374&gt;0,MAX(K374-L374,0)&gt;0,N374&lt;&gt;"Paga"),ROUND(MAX(K374-L374,0)*'Parâmetros'!$B$35*(O374/'Parâmetros'!$B$33),2),0))</x:f>
      </x:c>
      <x:c r="R374" s="131" t="str">
        <x:f>IF(A374="","",IF(O374&gt;0,ROUND(MAX(K374-L374,0)+P374+Q374,2),0))</x:f>
      </x:c>
      <x:c r="S374" s="131" t="str">
        <x:f>IF(A374="","",IF(OR(N374="Paga",O374&gt;0),0,ROUND(IF(K374=0,0,G374*MAX(K374-L374,0)/K374)/(1+'Parâmetros'!$C$13)^((C374-$A$5)/30),2)))</x:f>
      </x:c>
      <x:c r="T374" s="131" t="str">
        <x:f>IF(A374="","",0)</x:f>
      </x:c>
      <x:c r="U374" s="131" t="str">
        <x:f>IF(A374="","",0)</x:f>
      </x:c>
      <x:c r="V374" s="131" t="str">
        <x:f>IF(A374="","",IF(N374="Paga",0,IF(O374&gt;0,R374,S374)))</x:f>
      </x:c>
      <x:c r="W374" s="131" t="str">
        <x:f>IF(A374="","",ROUND(MAX(D374-F374,0),2))</x:f>
      </x:c>
      <x:c r="X374" s="131" t="str">
        <x:f>IF(A374="","",ROUND(SUM($G374:$G$407),2))</x:f>
      </x:c>
      <x:c r="Y374" s="131" t="str">
        <x:f>IF(A374="","",ROUND(MAX(X374-D374,0),2))</x:f>
      </x:c>
      <x:c r="Z374" s="131" t="str">
        <x:f>IF(A374="","",ROUND(SUM($V374:$V$407),2))</x:f>
      </x:c>
      <x:c r="AA374" s="131" t="str">
        <x:f>IF(A374="","",ROUND(SUM($K374:$K$407)-Z374,2))</x:f>
      </x:c>
      <x:c r="AB374" s="77"/>
      <x:c r="AC374" s="36" t="str">
        <x:f>IF(A374="","",IF(O374&gt;0,"Vencido: saldo da fatura + mora",IF(O374&lt;=0,"Vincendo: VP da parcela financeira; comissão/proteção futuras isentas","")))</x:f>
      </x:c>
    </x:row>
    <x:row r="375">
      <x:c r="A375" s="129" t="str">
        <x:f>IF(ROW()-7&lt;=Contrato!$C$16,ROW()-7,"")</x:f>
      </x:c>
      <x:c r="B375" s="129" t="str">
        <x:f>IF(A375="","",Contrato!$C$16)</x:f>
      </x:c>
      <x:c r="C375" s="130" t="str">
        <x:f>IF(A375="","",IF(AB375&lt;&gt;"",AB375,IF(Contrato!$C$14="Mensal",EDATE(Contrato!$C$13,A375-1),Contrato!$C$13+(A375-1)*IF(Contrato!$C$14="Quinzenal",14,IF(Contrato!$C$14="Semanal",7,1)))))</x:f>
      </x:c>
      <x:c r="D375" s="131" t="str">
        <x:f>IF(A375="","",W374)</x:f>
      </x:c>
      <x:c r="E375" s="131" t="str">
        <x:f>IF(A375="","",ROUND(D375*Simulador!$I$18,2))</x:f>
      </x:c>
      <x:c r="F375" s="131" t="str">
        <x:f>IF(A375="","",ROUND(MIN(D375,MAX(G375-E375,0)),2))</x:f>
      </x:c>
      <x:c r="G375" s="131" t="str">
        <x:f>IF(A375="","",IF(A375&lt;Contrato!$C$16,Contrato!$C$27,Contrato!$C$28))</x:f>
      </x:c>
      <x:c r="H375" s="131" t="str">
        <x:f>IF(A375="","",Contrato!$C$29)</x:f>
      </x:c>
      <x:c r="I375" s="131" t="str">
        <x:f>IF(A375="","",Contrato!$C$30)</x:f>
      </x:c>
      <x:c r="J375" s="131" t="str">
        <x:f>IF(A375="","",Contrato!$C$31)</x:f>
      </x:c>
      <x:c r="K375" s="131" t="str">
        <x:f>IF(A375="","",ROUND(SUM(G375:J375),2))</x:f>
      </x:c>
      <x:c r="L375" s="80"/>
      <x:c r="M375" s="77"/>
      <x:c r="N375" s="29" t="str">
        <x:f>IF(A375="","",IF(L375&gt;=K375,"Paga",IF(L375&gt;0,"Paga parcialmente",IF(C375&lt;$A$5,"Vencida","Prevista"))))</x:f>
      </x:c>
      <x:c r="O375" s="29" t="str">
        <x:f>IF(A375="","",$A$5-C375)</x:f>
      </x:c>
      <x:c r="P375" s="131" t="str">
        <x:f>IF(A375="","",IF(AND(O375&gt;0,MAX(K375-L375,0)&gt;0,N375&lt;&gt;"Paga"),ROUND(MAX(K375-L375,0)*'Parâmetros'!$B$34,2),0))</x:f>
      </x:c>
      <x:c r="Q375" s="131" t="str">
        <x:f>IF(A375="","",IF(AND(O375&gt;0,MAX(K375-L375,0)&gt;0,N375&lt;&gt;"Paga"),ROUND(MAX(K375-L375,0)*'Parâmetros'!$B$35*(O375/'Parâmetros'!$B$33),2),0))</x:f>
      </x:c>
      <x:c r="R375" s="131" t="str">
        <x:f>IF(A375="","",IF(O375&gt;0,ROUND(MAX(K375-L375,0)+P375+Q375,2),0))</x:f>
      </x:c>
      <x:c r="S375" s="131" t="str">
        <x:f>IF(A375="","",IF(OR(N375="Paga",O375&gt;0),0,ROUND(IF(K375=0,0,G375*MAX(K375-L375,0)/K375)/(1+'Parâmetros'!$C$13)^((C375-$A$5)/30),2)))</x:f>
      </x:c>
      <x:c r="T375" s="131" t="str">
        <x:f>IF(A375="","",0)</x:f>
      </x:c>
      <x:c r="U375" s="131" t="str">
        <x:f>IF(A375="","",0)</x:f>
      </x:c>
      <x:c r="V375" s="131" t="str">
        <x:f>IF(A375="","",IF(N375="Paga",0,IF(O375&gt;0,R375,S375)))</x:f>
      </x:c>
      <x:c r="W375" s="131" t="str">
        <x:f>IF(A375="","",ROUND(MAX(D375-F375,0),2))</x:f>
      </x:c>
      <x:c r="X375" s="131" t="str">
        <x:f>IF(A375="","",ROUND(SUM($G375:$G$407),2))</x:f>
      </x:c>
      <x:c r="Y375" s="131" t="str">
        <x:f>IF(A375="","",ROUND(MAX(X375-D375,0),2))</x:f>
      </x:c>
      <x:c r="Z375" s="131" t="str">
        <x:f>IF(A375="","",ROUND(SUM($V375:$V$407),2))</x:f>
      </x:c>
      <x:c r="AA375" s="131" t="str">
        <x:f>IF(A375="","",ROUND(SUM($K375:$K$407)-Z375,2))</x:f>
      </x:c>
      <x:c r="AB375" s="77"/>
      <x:c r="AC375" s="36" t="str">
        <x:f>IF(A375="","",IF(O375&gt;0,"Vencido: saldo da fatura + mora",IF(O375&lt;=0,"Vincendo: VP da parcela financeira; comissão/proteção futuras isentas","")))</x:f>
      </x:c>
    </x:row>
    <x:row r="376">
      <x:c r="A376" s="129" t="str">
        <x:f>IF(ROW()-7&lt;=Contrato!$C$16,ROW()-7,"")</x:f>
      </x:c>
      <x:c r="B376" s="129" t="str">
        <x:f>IF(A376="","",Contrato!$C$16)</x:f>
      </x:c>
      <x:c r="C376" s="130" t="str">
        <x:f>IF(A376="","",IF(AB376&lt;&gt;"",AB376,IF(Contrato!$C$14="Mensal",EDATE(Contrato!$C$13,A376-1),Contrato!$C$13+(A376-1)*IF(Contrato!$C$14="Quinzenal",14,IF(Contrato!$C$14="Semanal",7,1)))))</x:f>
      </x:c>
      <x:c r="D376" s="131" t="str">
        <x:f>IF(A376="","",W375)</x:f>
      </x:c>
      <x:c r="E376" s="131" t="str">
        <x:f>IF(A376="","",ROUND(D376*Simulador!$I$18,2))</x:f>
      </x:c>
      <x:c r="F376" s="131" t="str">
        <x:f>IF(A376="","",ROUND(MIN(D376,MAX(G376-E376,0)),2))</x:f>
      </x:c>
      <x:c r="G376" s="131" t="str">
        <x:f>IF(A376="","",IF(A376&lt;Contrato!$C$16,Contrato!$C$27,Contrato!$C$28))</x:f>
      </x:c>
      <x:c r="H376" s="131" t="str">
        <x:f>IF(A376="","",Contrato!$C$29)</x:f>
      </x:c>
      <x:c r="I376" s="131" t="str">
        <x:f>IF(A376="","",Contrato!$C$30)</x:f>
      </x:c>
      <x:c r="J376" s="131" t="str">
        <x:f>IF(A376="","",Contrato!$C$31)</x:f>
      </x:c>
      <x:c r="K376" s="131" t="str">
        <x:f>IF(A376="","",ROUND(SUM(G376:J376),2))</x:f>
      </x:c>
      <x:c r="L376" s="80"/>
      <x:c r="M376" s="77"/>
      <x:c r="N376" s="29" t="str">
        <x:f>IF(A376="","",IF(L376&gt;=K376,"Paga",IF(L376&gt;0,"Paga parcialmente",IF(C376&lt;$A$5,"Vencida","Prevista"))))</x:f>
      </x:c>
      <x:c r="O376" s="29" t="str">
        <x:f>IF(A376="","",$A$5-C376)</x:f>
      </x:c>
      <x:c r="P376" s="131" t="str">
        <x:f>IF(A376="","",IF(AND(O376&gt;0,MAX(K376-L376,0)&gt;0,N376&lt;&gt;"Paga"),ROUND(MAX(K376-L376,0)*'Parâmetros'!$B$34,2),0))</x:f>
      </x:c>
      <x:c r="Q376" s="131" t="str">
        <x:f>IF(A376="","",IF(AND(O376&gt;0,MAX(K376-L376,0)&gt;0,N376&lt;&gt;"Paga"),ROUND(MAX(K376-L376,0)*'Parâmetros'!$B$35*(O376/'Parâmetros'!$B$33),2),0))</x:f>
      </x:c>
      <x:c r="R376" s="131" t="str">
        <x:f>IF(A376="","",IF(O376&gt;0,ROUND(MAX(K376-L376,0)+P376+Q376,2),0))</x:f>
      </x:c>
      <x:c r="S376" s="131" t="str">
        <x:f>IF(A376="","",IF(OR(N376="Paga",O376&gt;0),0,ROUND(IF(K376=0,0,G376*MAX(K376-L376,0)/K376)/(1+'Parâmetros'!$C$13)^((C376-$A$5)/30),2)))</x:f>
      </x:c>
      <x:c r="T376" s="131" t="str">
        <x:f>IF(A376="","",0)</x:f>
      </x:c>
      <x:c r="U376" s="131" t="str">
        <x:f>IF(A376="","",0)</x:f>
      </x:c>
      <x:c r="V376" s="131" t="str">
        <x:f>IF(A376="","",IF(N376="Paga",0,IF(O376&gt;0,R376,S376)))</x:f>
      </x:c>
      <x:c r="W376" s="131" t="str">
        <x:f>IF(A376="","",ROUND(MAX(D376-F376,0),2))</x:f>
      </x:c>
      <x:c r="X376" s="131" t="str">
        <x:f>IF(A376="","",ROUND(SUM($G376:$G$407),2))</x:f>
      </x:c>
      <x:c r="Y376" s="131" t="str">
        <x:f>IF(A376="","",ROUND(MAX(X376-D376,0),2))</x:f>
      </x:c>
      <x:c r="Z376" s="131" t="str">
        <x:f>IF(A376="","",ROUND(SUM($V376:$V$407),2))</x:f>
      </x:c>
      <x:c r="AA376" s="131" t="str">
        <x:f>IF(A376="","",ROUND(SUM($K376:$K$407)-Z376,2))</x:f>
      </x:c>
      <x:c r="AB376" s="77"/>
      <x:c r="AC376" s="36" t="str">
        <x:f>IF(A376="","",IF(O376&gt;0,"Vencido: saldo da fatura + mora",IF(O376&lt;=0,"Vincendo: VP da parcela financeira; comissão/proteção futuras isentas","")))</x:f>
      </x:c>
    </x:row>
    <x:row r="377">
      <x:c r="A377" s="129" t="str">
        <x:f>IF(ROW()-7&lt;=Contrato!$C$16,ROW()-7,"")</x:f>
      </x:c>
      <x:c r="B377" s="129" t="str">
        <x:f>IF(A377="","",Contrato!$C$16)</x:f>
      </x:c>
      <x:c r="C377" s="130" t="str">
        <x:f>IF(A377="","",IF(AB377&lt;&gt;"",AB377,IF(Contrato!$C$14="Mensal",EDATE(Contrato!$C$13,A377-1),Contrato!$C$13+(A377-1)*IF(Contrato!$C$14="Quinzenal",14,IF(Contrato!$C$14="Semanal",7,1)))))</x:f>
      </x:c>
      <x:c r="D377" s="131" t="str">
        <x:f>IF(A377="","",W376)</x:f>
      </x:c>
      <x:c r="E377" s="131" t="str">
        <x:f>IF(A377="","",ROUND(D377*Simulador!$I$18,2))</x:f>
      </x:c>
      <x:c r="F377" s="131" t="str">
        <x:f>IF(A377="","",ROUND(MIN(D377,MAX(G377-E377,0)),2))</x:f>
      </x:c>
      <x:c r="G377" s="131" t="str">
        <x:f>IF(A377="","",IF(A377&lt;Contrato!$C$16,Contrato!$C$27,Contrato!$C$28))</x:f>
      </x:c>
      <x:c r="H377" s="131" t="str">
        <x:f>IF(A377="","",Contrato!$C$29)</x:f>
      </x:c>
      <x:c r="I377" s="131" t="str">
        <x:f>IF(A377="","",Contrato!$C$30)</x:f>
      </x:c>
      <x:c r="J377" s="131" t="str">
        <x:f>IF(A377="","",Contrato!$C$31)</x:f>
      </x:c>
      <x:c r="K377" s="131" t="str">
        <x:f>IF(A377="","",ROUND(SUM(G377:J377),2))</x:f>
      </x:c>
      <x:c r="L377" s="80"/>
      <x:c r="M377" s="77"/>
      <x:c r="N377" s="29" t="str">
        <x:f>IF(A377="","",IF(L377&gt;=K377,"Paga",IF(L377&gt;0,"Paga parcialmente",IF(C377&lt;$A$5,"Vencida","Prevista"))))</x:f>
      </x:c>
      <x:c r="O377" s="29" t="str">
        <x:f>IF(A377="","",$A$5-C377)</x:f>
      </x:c>
      <x:c r="P377" s="131" t="str">
        <x:f>IF(A377="","",IF(AND(O377&gt;0,MAX(K377-L377,0)&gt;0,N377&lt;&gt;"Paga"),ROUND(MAX(K377-L377,0)*'Parâmetros'!$B$34,2),0))</x:f>
      </x:c>
      <x:c r="Q377" s="131" t="str">
        <x:f>IF(A377="","",IF(AND(O377&gt;0,MAX(K377-L377,0)&gt;0,N377&lt;&gt;"Paga"),ROUND(MAX(K377-L377,0)*'Parâmetros'!$B$35*(O377/'Parâmetros'!$B$33),2),0))</x:f>
      </x:c>
      <x:c r="R377" s="131" t="str">
        <x:f>IF(A377="","",IF(O377&gt;0,ROUND(MAX(K377-L377,0)+P377+Q377,2),0))</x:f>
      </x:c>
      <x:c r="S377" s="131" t="str">
        <x:f>IF(A377="","",IF(OR(N377="Paga",O377&gt;0),0,ROUND(IF(K377=0,0,G377*MAX(K377-L377,0)/K377)/(1+'Parâmetros'!$C$13)^((C377-$A$5)/30),2)))</x:f>
      </x:c>
      <x:c r="T377" s="131" t="str">
        <x:f>IF(A377="","",0)</x:f>
      </x:c>
      <x:c r="U377" s="131" t="str">
        <x:f>IF(A377="","",0)</x:f>
      </x:c>
      <x:c r="V377" s="131" t="str">
        <x:f>IF(A377="","",IF(N377="Paga",0,IF(O377&gt;0,R377,S377)))</x:f>
      </x:c>
      <x:c r="W377" s="131" t="str">
        <x:f>IF(A377="","",ROUND(MAX(D377-F377,0),2))</x:f>
      </x:c>
      <x:c r="X377" s="131" t="str">
        <x:f>IF(A377="","",ROUND(SUM($G377:$G$407),2))</x:f>
      </x:c>
      <x:c r="Y377" s="131" t="str">
        <x:f>IF(A377="","",ROUND(MAX(X377-D377,0),2))</x:f>
      </x:c>
      <x:c r="Z377" s="131" t="str">
        <x:f>IF(A377="","",ROUND(SUM($V377:$V$407),2))</x:f>
      </x:c>
      <x:c r="AA377" s="131" t="str">
        <x:f>IF(A377="","",ROUND(SUM($K377:$K$407)-Z377,2))</x:f>
      </x:c>
      <x:c r="AB377" s="77"/>
      <x:c r="AC377" s="36" t="str">
        <x:f>IF(A377="","",IF(O377&gt;0,"Vencido: saldo da fatura + mora",IF(O377&lt;=0,"Vincendo: VP da parcela financeira; comissão/proteção futuras isentas","")))</x:f>
      </x:c>
    </x:row>
    <x:row r="378">
      <x:c r="A378" s="129" t="str">
        <x:f>IF(ROW()-7&lt;=Contrato!$C$16,ROW()-7,"")</x:f>
      </x:c>
      <x:c r="B378" s="129" t="str">
        <x:f>IF(A378="","",Contrato!$C$16)</x:f>
      </x:c>
      <x:c r="C378" s="130" t="str">
        <x:f>IF(A378="","",IF(AB378&lt;&gt;"",AB378,IF(Contrato!$C$14="Mensal",EDATE(Contrato!$C$13,A378-1),Contrato!$C$13+(A378-1)*IF(Contrato!$C$14="Quinzenal",14,IF(Contrato!$C$14="Semanal",7,1)))))</x:f>
      </x:c>
      <x:c r="D378" s="131" t="str">
        <x:f>IF(A378="","",W377)</x:f>
      </x:c>
      <x:c r="E378" s="131" t="str">
        <x:f>IF(A378="","",ROUND(D378*Simulador!$I$18,2))</x:f>
      </x:c>
      <x:c r="F378" s="131" t="str">
        <x:f>IF(A378="","",ROUND(MIN(D378,MAX(G378-E378,0)),2))</x:f>
      </x:c>
      <x:c r="G378" s="131" t="str">
        <x:f>IF(A378="","",IF(A378&lt;Contrato!$C$16,Contrato!$C$27,Contrato!$C$28))</x:f>
      </x:c>
      <x:c r="H378" s="131" t="str">
        <x:f>IF(A378="","",Contrato!$C$29)</x:f>
      </x:c>
      <x:c r="I378" s="131" t="str">
        <x:f>IF(A378="","",Contrato!$C$30)</x:f>
      </x:c>
      <x:c r="J378" s="131" t="str">
        <x:f>IF(A378="","",Contrato!$C$31)</x:f>
      </x:c>
      <x:c r="K378" s="131" t="str">
        <x:f>IF(A378="","",ROUND(SUM(G378:J378),2))</x:f>
      </x:c>
      <x:c r="L378" s="80"/>
      <x:c r="M378" s="77"/>
      <x:c r="N378" s="29" t="str">
        <x:f>IF(A378="","",IF(L378&gt;=K378,"Paga",IF(L378&gt;0,"Paga parcialmente",IF(C378&lt;$A$5,"Vencida","Prevista"))))</x:f>
      </x:c>
      <x:c r="O378" s="29" t="str">
        <x:f>IF(A378="","",$A$5-C378)</x:f>
      </x:c>
      <x:c r="P378" s="131" t="str">
        <x:f>IF(A378="","",IF(AND(O378&gt;0,MAX(K378-L378,0)&gt;0,N378&lt;&gt;"Paga"),ROUND(MAX(K378-L378,0)*'Parâmetros'!$B$34,2),0))</x:f>
      </x:c>
      <x:c r="Q378" s="131" t="str">
        <x:f>IF(A378="","",IF(AND(O378&gt;0,MAX(K378-L378,0)&gt;0,N378&lt;&gt;"Paga"),ROUND(MAX(K378-L378,0)*'Parâmetros'!$B$35*(O378/'Parâmetros'!$B$33),2),0))</x:f>
      </x:c>
      <x:c r="R378" s="131" t="str">
        <x:f>IF(A378="","",IF(O378&gt;0,ROUND(MAX(K378-L378,0)+P378+Q378,2),0))</x:f>
      </x:c>
      <x:c r="S378" s="131" t="str">
        <x:f>IF(A378="","",IF(OR(N378="Paga",O378&gt;0),0,ROUND(IF(K378=0,0,G378*MAX(K378-L378,0)/K378)/(1+'Parâmetros'!$C$13)^((C378-$A$5)/30),2)))</x:f>
      </x:c>
      <x:c r="T378" s="131" t="str">
        <x:f>IF(A378="","",0)</x:f>
      </x:c>
      <x:c r="U378" s="131" t="str">
        <x:f>IF(A378="","",0)</x:f>
      </x:c>
      <x:c r="V378" s="131" t="str">
        <x:f>IF(A378="","",IF(N378="Paga",0,IF(O378&gt;0,R378,S378)))</x:f>
      </x:c>
      <x:c r="W378" s="131" t="str">
        <x:f>IF(A378="","",ROUND(MAX(D378-F378,0),2))</x:f>
      </x:c>
      <x:c r="X378" s="131" t="str">
        <x:f>IF(A378="","",ROUND(SUM($G378:$G$407),2))</x:f>
      </x:c>
      <x:c r="Y378" s="131" t="str">
        <x:f>IF(A378="","",ROUND(MAX(X378-D378,0),2))</x:f>
      </x:c>
      <x:c r="Z378" s="131" t="str">
        <x:f>IF(A378="","",ROUND(SUM($V378:$V$407),2))</x:f>
      </x:c>
      <x:c r="AA378" s="131" t="str">
        <x:f>IF(A378="","",ROUND(SUM($K378:$K$407)-Z378,2))</x:f>
      </x:c>
      <x:c r="AB378" s="77"/>
      <x:c r="AC378" s="36" t="str">
        <x:f>IF(A378="","",IF(O378&gt;0,"Vencido: saldo da fatura + mora",IF(O378&lt;=0,"Vincendo: VP da parcela financeira; comissão/proteção futuras isentas","")))</x:f>
      </x:c>
    </x:row>
    <x:row r="379">
      <x:c r="A379" s="129" t="str">
        <x:f>IF(ROW()-7&lt;=Contrato!$C$16,ROW()-7,"")</x:f>
      </x:c>
      <x:c r="B379" s="129" t="str">
        <x:f>IF(A379="","",Contrato!$C$16)</x:f>
      </x:c>
      <x:c r="C379" s="130" t="str">
        <x:f>IF(A379="","",IF(AB379&lt;&gt;"",AB379,IF(Contrato!$C$14="Mensal",EDATE(Contrato!$C$13,A379-1),Contrato!$C$13+(A379-1)*IF(Contrato!$C$14="Quinzenal",14,IF(Contrato!$C$14="Semanal",7,1)))))</x:f>
      </x:c>
      <x:c r="D379" s="131" t="str">
        <x:f>IF(A379="","",W378)</x:f>
      </x:c>
      <x:c r="E379" s="131" t="str">
        <x:f>IF(A379="","",ROUND(D379*Simulador!$I$18,2))</x:f>
      </x:c>
      <x:c r="F379" s="131" t="str">
        <x:f>IF(A379="","",ROUND(MIN(D379,MAX(G379-E379,0)),2))</x:f>
      </x:c>
      <x:c r="G379" s="131" t="str">
        <x:f>IF(A379="","",IF(A379&lt;Contrato!$C$16,Contrato!$C$27,Contrato!$C$28))</x:f>
      </x:c>
      <x:c r="H379" s="131" t="str">
        <x:f>IF(A379="","",Contrato!$C$29)</x:f>
      </x:c>
      <x:c r="I379" s="131" t="str">
        <x:f>IF(A379="","",Contrato!$C$30)</x:f>
      </x:c>
      <x:c r="J379" s="131" t="str">
        <x:f>IF(A379="","",Contrato!$C$31)</x:f>
      </x:c>
      <x:c r="K379" s="131" t="str">
        <x:f>IF(A379="","",ROUND(SUM(G379:J379),2))</x:f>
      </x:c>
      <x:c r="L379" s="80"/>
      <x:c r="M379" s="77"/>
      <x:c r="N379" s="29" t="str">
        <x:f>IF(A379="","",IF(L379&gt;=K379,"Paga",IF(L379&gt;0,"Paga parcialmente",IF(C379&lt;$A$5,"Vencida","Prevista"))))</x:f>
      </x:c>
      <x:c r="O379" s="29" t="str">
        <x:f>IF(A379="","",$A$5-C379)</x:f>
      </x:c>
      <x:c r="P379" s="131" t="str">
        <x:f>IF(A379="","",IF(AND(O379&gt;0,MAX(K379-L379,0)&gt;0,N379&lt;&gt;"Paga"),ROUND(MAX(K379-L379,0)*'Parâmetros'!$B$34,2),0))</x:f>
      </x:c>
      <x:c r="Q379" s="131" t="str">
        <x:f>IF(A379="","",IF(AND(O379&gt;0,MAX(K379-L379,0)&gt;0,N379&lt;&gt;"Paga"),ROUND(MAX(K379-L379,0)*'Parâmetros'!$B$35*(O379/'Parâmetros'!$B$33),2),0))</x:f>
      </x:c>
      <x:c r="R379" s="131" t="str">
        <x:f>IF(A379="","",IF(O379&gt;0,ROUND(MAX(K379-L379,0)+P379+Q379,2),0))</x:f>
      </x:c>
      <x:c r="S379" s="131" t="str">
        <x:f>IF(A379="","",IF(OR(N379="Paga",O379&gt;0),0,ROUND(IF(K379=0,0,G379*MAX(K379-L379,0)/K379)/(1+'Parâmetros'!$C$13)^((C379-$A$5)/30),2)))</x:f>
      </x:c>
      <x:c r="T379" s="131" t="str">
        <x:f>IF(A379="","",0)</x:f>
      </x:c>
      <x:c r="U379" s="131" t="str">
        <x:f>IF(A379="","",0)</x:f>
      </x:c>
      <x:c r="V379" s="131" t="str">
        <x:f>IF(A379="","",IF(N379="Paga",0,IF(O379&gt;0,R379,S379)))</x:f>
      </x:c>
      <x:c r="W379" s="131" t="str">
        <x:f>IF(A379="","",ROUND(MAX(D379-F379,0),2))</x:f>
      </x:c>
      <x:c r="X379" s="131" t="str">
        <x:f>IF(A379="","",ROUND(SUM($G379:$G$407),2))</x:f>
      </x:c>
      <x:c r="Y379" s="131" t="str">
        <x:f>IF(A379="","",ROUND(MAX(X379-D379,0),2))</x:f>
      </x:c>
      <x:c r="Z379" s="131" t="str">
        <x:f>IF(A379="","",ROUND(SUM($V379:$V$407),2))</x:f>
      </x:c>
      <x:c r="AA379" s="131" t="str">
        <x:f>IF(A379="","",ROUND(SUM($K379:$K$407)-Z379,2))</x:f>
      </x:c>
      <x:c r="AB379" s="77"/>
      <x:c r="AC379" s="36" t="str">
        <x:f>IF(A379="","",IF(O379&gt;0,"Vencido: saldo da fatura + mora",IF(O379&lt;=0,"Vincendo: VP da parcela financeira; comissão/proteção futuras isentas","")))</x:f>
      </x:c>
    </x:row>
    <x:row r="380">
      <x:c r="A380" s="129" t="str">
        <x:f>IF(ROW()-7&lt;=Contrato!$C$16,ROW()-7,"")</x:f>
      </x:c>
      <x:c r="B380" s="129" t="str">
        <x:f>IF(A380="","",Contrato!$C$16)</x:f>
      </x:c>
      <x:c r="C380" s="130" t="str">
        <x:f>IF(A380="","",IF(AB380&lt;&gt;"",AB380,IF(Contrato!$C$14="Mensal",EDATE(Contrato!$C$13,A380-1),Contrato!$C$13+(A380-1)*IF(Contrato!$C$14="Quinzenal",14,IF(Contrato!$C$14="Semanal",7,1)))))</x:f>
      </x:c>
      <x:c r="D380" s="131" t="str">
        <x:f>IF(A380="","",W379)</x:f>
      </x:c>
      <x:c r="E380" s="131" t="str">
        <x:f>IF(A380="","",ROUND(D380*Simulador!$I$18,2))</x:f>
      </x:c>
      <x:c r="F380" s="131" t="str">
        <x:f>IF(A380="","",ROUND(MIN(D380,MAX(G380-E380,0)),2))</x:f>
      </x:c>
      <x:c r="G380" s="131" t="str">
        <x:f>IF(A380="","",IF(A380&lt;Contrato!$C$16,Contrato!$C$27,Contrato!$C$28))</x:f>
      </x:c>
      <x:c r="H380" s="131" t="str">
        <x:f>IF(A380="","",Contrato!$C$29)</x:f>
      </x:c>
      <x:c r="I380" s="131" t="str">
        <x:f>IF(A380="","",Contrato!$C$30)</x:f>
      </x:c>
      <x:c r="J380" s="131" t="str">
        <x:f>IF(A380="","",Contrato!$C$31)</x:f>
      </x:c>
      <x:c r="K380" s="131" t="str">
        <x:f>IF(A380="","",ROUND(SUM(G380:J380),2))</x:f>
      </x:c>
      <x:c r="L380" s="80"/>
      <x:c r="M380" s="77"/>
      <x:c r="N380" s="29" t="str">
        <x:f>IF(A380="","",IF(L380&gt;=K380,"Paga",IF(L380&gt;0,"Paga parcialmente",IF(C380&lt;$A$5,"Vencida","Prevista"))))</x:f>
      </x:c>
      <x:c r="O380" s="29" t="str">
        <x:f>IF(A380="","",$A$5-C380)</x:f>
      </x:c>
      <x:c r="P380" s="131" t="str">
        <x:f>IF(A380="","",IF(AND(O380&gt;0,MAX(K380-L380,0)&gt;0,N380&lt;&gt;"Paga"),ROUND(MAX(K380-L380,0)*'Parâmetros'!$B$34,2),0))</x:f>
      </x:c>
      <x:c r="Q380" s="131" t="str">
        <x:f>IF(A380="","",IF(AND(O380&gt;0,MAX(K380-L380,0)&gt;0,N380&lt;&gt;"Paga"),ROUND(MAX(K380-L380,0)*'Parâmetros'!$B$35*(O380/'Parâmetros'!$B$33),2),0))</x:f>
      </x:c>
      <x:c r="R380" s="131" t="str">
        <x:f>IF(A380="","",IF(O380&gt;0,ROUND(MAX(K380-L380,0)+P380+Q380,2),0))</x:f>
      </x:c>
      <x:c r="S380" s="131" t="str">
        <x:f>IF(A380="","",IF(OR(N380="Paga",O380&gt;0),0,ROUND(IF(K380=0,0,G380*MAX(K380-L380,0)/K380)/(1+'Parâmetros'!$C$13)^((C380-$A$5)/30),2)))</x:f>
      </x:c>
      <x:c r="T380" s="131" t="str">
        <x:f>IF(A380="","",0)</x:f>
      </x:c>
      <x:c r="U380" s="131" t="str">
        <x:f>IF(A380="","",0)</x:f>
      </x:c>
      <x:c r="V380" s="131" t="str">
        <x:f>IF(A380="","",IF(N380="Paga",0,IF(O380&gt;0,R380,S380)))</x:f>
      </x:c>
      <x:c r="W380" s="131" t="str">
        <x:f>IF(A380="","",ROUND(MAX(D380-F380,0),2))</x:f>
      </x:c>
      <x:c r="X380" s="131" t="str">
        <x:f>IF(A380="","",ROUND(SUM($G380:$G$407),2))</x:f>
      </x:c>
      <x:c r="Y380" s="131" t="str">
        <x:f>IF(A380="","",ROUND(MAX(X380-D380,0),2))</x:f>
      </x:c>
      <x:c r="Z380" s="131" t="str">
        <x:f>IF(A380="","",ROUND(SUM($V380:$V$407),2))</x:f>
      </x:c>
      <x:c r="AA380" s="131" t="str">
        <x:f>IF(A380="","",ROUND(SUM($K380:$K$407)-Z380,2))</x:f>
      </x:c>
      <x:c r="AB380" s="77"/>
      <x:c r="AC380" s="36" t="str">
        <x:f>IF(A380="","",IF(O380&gt;0,"Vencido: saldo da fatura + mora",IF(O380&lt;=0,"Vincendo: VP da parcela financeira; comissão/proteção futuras isentas","")))</x:f>
      </x:c>
    </x:row>
    <x:row r="381">
      <x:c r="A381" s="129" t="str">
        <x:f>IF(ROW()-7&lt;=Contrato!$C$16,ROW()-7,"")</x:f>
      </x:c>
      <x:c r="B381" s="129" t="str">
        <x:f>IF(A381="","",Contrato!$C$16)</x:f>
      </x:c>
      <x:c r="C381" s="130" t="str">
        <x:f>IF(A381="","",IF(AB381&lt;&gt;"",AB381,IF(Contrato!$C$14="Mensal",EDATE(Contrato!$C$13,A381-1),Contrato!$C$13+(A381-1)*IF(Contrato!$C$14="Quinzenal",14,IF(Contrato!$C$14="Semanal",7,1)))))</x:f>
      </x:c>
      <x:c r="D381" s="131" t="str">
        <x:f>IF(A381="","",W380)</x:f>
      </x:c>
      <x:c r="E381" s="131" t="str">
        <x:f>IF(A381="","",ROUND(D381*Simulador!$I$18,2))</x:f>
      </x:c>
      <x:c r="F381" s="131" t="str">
        <x:f>IF(A381="","",ROUND(MIN(D381,MAX(G381-E381,0)),2))</x:f>
      </x:c>
      <x:c r="G381" s="131" t="str">
        <x:f>IF(A381="","",IF(A381&lt;Contrato!$C$16,Contrato!$C$27,Contrato!$C$28))</x:f>
      </x:c>
      <x:c r="H381" s="131" t="str">
        <x:f>IF(A381="","",Contrato!$C$29)</x:f>
      </x:c>
      <x:c r="I381" s="131" t="str">
        <x:f>IF(A381="","",Contrato!$C$30)</x:f>
      </x:c>
      <x:c r="J381" s="131" t="str">
        <x:f>IF(A381="","",Contrato!$C$31)</x:f>
      </x:c>
      <x:c r="K381" s="131" t="str">
        <x:f>IF(A381="","",ROUND(SUM(G381:J381),2))</x:f>
      </x:c>
      <x:c r="L381" s="80"/>
      <x:c r="M381" s="77"/>
      <x:c r="N381" s="29" t="str">
        <x:f>IF(A381="","",IF(L381&gt;=K381,"Paga",IF(L381&gt;0,"Paga parcialmente",IF(C381&lt;$A$5,"Vencida","Prevista"))))</x:f>
      </x:c>
      <x:c r="O381" s="29" t="str">
        <x:f>IF(A381="","",$A$5-C381)</x:f>
      </x:c>
      <x:c r="P381" s="131" t="str">
        <x:f>IF(A381="","",IF(AND(O381&gt;0,MAX(K381-L381,0)&gt;0,N381&lt;&gt;"Paga"),ROUND(MAX(K381-L381,0)*'Parâmetros'!$B$34,2),0))</x:f>
      </x:c>
      <x:c r="Q381" s="131" t="str">
        <x:f>IF(A381="","",IF(AND(O381&gt;0,MAX(K381-L381,0)&gt;0,N381&lt;&gt;"Paga"),ROUND(MAX(K381-L381,0)*'Parâmetros'!$B$35*(O381/'Parâmetros'!$B$33),2),0))</x:f>
      </x:c>
      <x:c r="R381" s="131" t="str">
        <x:f>IF(A381="","",IF(O381&gt;0,ROUND(MAX(K381-L381,0)+P381+Q381,2),0))</x:f>
      </x:c>
      <x:c r="S381" s="131" t="str">
        <x:f>IF(A381="","",IF(OR(N381="Paga",O381&gt;0),0,ROUND(IF(K381=0,0,G381*MAX(K381-L381,0)/K381)/(1+'Parâmetros'!$C$13)^((C381-$A$5)/30),2)))</x:f>
      </x:c>
      <x:c r="T381" s="131" t="str">
        <x:f>IF(A381="","",0)</x:f>
      </x:c>
      <x:c r="U381" s="131" t="str">
        <x:f>IF(A381="","",0)</x:f>
      </x:c>
      <x:c r="V381" s="131" t="str">
        <x:f>IF(A381="","",IF(N381="Paga",0,IF(O381&gt;0,R381,S381)))</x:f>
      </x:c>
      <x:c r="W381" s="131" t="str">
        <x:f>IF(A381="","",ROUND(MAX(D381-F381,0),2))</x:f>
      </x:c>
      <x:c r="X381" s="131" t="str">
        <x:f>IF(A381="","",ROUND(SUM($G381:$G$407),2))</x:f>
      </x:c>
      <x:c r="Y381" s="131" t="str">
        <x:f>IF(A381="","",ROUND(MAX(X381-D381,0),2))</x:f>
      </x:c>
      <x:c r="Z381" s="131" t="str">
        <x:f>IF(A381="","",ROUND(SUM($V381:$V$407),2))</x:f>
      </x:c>
      <x:c r="AA381" s="131" t="str">
        <x:f>IF(A381="","",ROUND(SUM($K381:$K$407)-Z381,2))</x:f>
      </x:c>
      <x:c r="AB381" s="77"/>
      <x:c r="AC381" s="36" t="str">
        <x:f>IF(A381="","",IF(O381&gt;0,"Vencido: saldo da fatura + mora",IF(O381&lt;=0,"Vincendo: VP da parcela financeira; comissão/proteção futuras isentas","")))</x:f>
      </x:c>
    </x:row>
    <x:row r="382">
      <x:c r="A382" s="129" t="str">
        <x:f>IF(ROW()-7&lt;=Contrato!$C$16,ROW()-7,"")</x:f>
      </x:c>
      <x:c r="B382" s="129" t="str">
        <x:f>IF(A382="","",Contrato!$C$16)</x:f>
      </x:c>
      <x:c r="C382" s="130" t="str">
        <x:f>IF(A382="","",IF(AB382&lt;&gt;"",AB382,IF(Contrato!$C$14="Mensal",EDATE(Contrato!$C$13,A382-1),Contrato!$C$13+(A382-1)*IF(Contrato!$C$14="Quinzenal",14,IF(Contrato!$C$14="Semanal",7,1)))))</x:f>
      </x:c>
      <x:c r="D382" s="131" t="str">
        <x:f>IF(A382="","",W381)</x:f>
      </x:c>
      <x:c r="E382" s="131" t="str">
        <x:f>IF(A382="","",ROUND(D382*Simulador!$I$18,2))</x:f>
      </x:c>
      <x:c r="F382" s="131" t="str">
        <x:f>IF(A382="","",ROUND(MIN(D382,MAX(G382-E382,0)),2))</x:f>
      </x:c>
      <x:c r="G382" s="131" t="str">
        <x:f>IF(A382="","",IF(A382&lt;Contrato!$C$16,Contrato!$C$27,Contrato!$C$28))</x:f>
      </x:c>
      <x:c r="H382" s="131" t="str">
        <x:f>IF(A382="","",Contrato!$C$29)</x:f>
      </x:c>
      <x:c r="I382" s="131" t="str">
        <x:f>IF(A382="","",Contrato!$C$30)</x:f>
      </x:c>
      <x:c r="J382" s="131" t="str">
        <x:f>IF(A382="","",Contrato!$C$31)</x:f>
      </x:c>
      <x:c r="K382" s="131" t="str">
        <x:f>IF(A382="","",ROUND(SUM(G382:J382),2))</x:f>
      </x:c>
      <x:c r="L382" s="80"/>
      <x:c r="M382" s="77"/>
      <x:c r="N382" s="29" t="str">
        <x:f>IF(A382="","",IF(L382&gt;=K382,"Paga",IF(L382&gt;0,"Paga parcialmente",IF(C382&lt;$A$5,"Vencida","Prevista"))))</x:f>
      </x:c>
      <x:c r="O382" s="29" t="str">
        <x:f>IF(A382="","",$A$5-C382)</x:f>
      </x:c>
      <x:c r="P382" s="131" t="str">
        <x:f>IF(A382="","",IF(AND(O382&gt;0,MAX(K382-L382,0)&gt;0,N382&lt;&gt;"Paga"),ROUND(MAX(K382-L382,0)*'Parâmetros'!$B$34,2),0))</x:f>
      </x:c>
      <x:c r="Q382" s="131" t="str">
        <x:f>IF(A382="","",IF(AND(O382&gt;0,MAX(K382-L382,0)&gt;0,N382&lt;&gt;"Paga"),ROUND(MAX(K382-L382,0)*'Parâmetros'!$B$35*(O382/'Parâmetros'!$B$33),2),0))</x:f>
      </x:c>
      <x:c r="R382" s="131" t="str">
        <x:f>IF(A382="","",IF(O382&gt;0,ROUND(MAX(K382-L382,0)+P382+Q382,2),0))</x:f>
      </x:c>
      <x:c r="S382" s="131" t="str">
        <x:f>IF(A382="","",IF(OR(N382="Paga",O382&gt;0),0,ROUND(IF(K382=0,0,G382*MAX(K382-L382,0)/K382)/(1+'Parâmetros'!$C$13)^((C382-$A$5)/30),2)))</x:f>
      </x:c>
      <x:c r="T382" s="131" t="str">
        <x:f>IF(A382="","",0)</x:f>
      </x:c>
      <x:c r="U382" s="131" t="str">
        <x:f>IF(A382="","",0)</x:f>
      </x:c>
      <x:c r="V382" s="131" t="str">
        <x:f>IF(A382="","",IF(N382="Paga",0,IF(O382&gt;0,R382,S382)))</x:f>
      </x:c>
      <x:c r="W382" s="131" t="str">
        <x:f>IF(A382="","",ROUND(MAX(D382-F382,0),2))</x:f>
      </x:c>
      <x:c r="X382" s="131" t="str">
        <x:f>IF(A382="","",ROUND(SUM($G382:$G$407),2))</x:f>
      </x:c>
      <x:c r="Y382" s="131" t="str">
        <x:f>IF(A382="","",ROUND(MAX(X382-D382,0),2))</x:f>
      </x:c>
      <x:c r="Z382" s="131" t="str">
        <x:f>IF(A382="","",ROUND(SUM($V382:$V$407),2))</x:f>
      </x:c>
      <x:c r="AA382" s="131" t="str">
        <x:f>IF(A382="","",ROUND(SUM($K382:$K$407)-Z382,2))</x:f>
      </x:c>
      <x:c r="AB382" s="77"/>
      <x:c r="AC382" s="36" t="str">
        <x:f>IF(A382="","",IF(O382&gt;0,"Vencido: saldo da fatura + mora",IF(O382&lt;=0,"Vincendo: VP da parcela financeira; comissão/proteção futuras isentas","")))</x:f>
      </x:c>
    </x:row>
    <x:row r="383">
      <x:c r="A383" s="129" t="str">
        <x:f>IF(ROW()-7&lt;=Contrato!$C$16,ROW()-7,"")</x:f>
      </x:c>
      <x:c r="B383" s="129" t="str">
        <x:f>IF(A383="","",Contrato!$C$16)</x:f>
      </x:c>
      <x:c r="C383" s="130" t="str">
        <x:f>IF(A383="","",IF(AB383&lt;&gt;"",AB383,IF(Contrato!$C$14="Mensal",EDATE(Contrato!$C$13,A383-1),Contrato!$C$13+(A383-1)*IF(Contrato!$C$14="Quinzenal",14,IF(Contrato!$C$14="Semanal",7,1)))))</x:f>
      </x:c>
      <x:c r="D383" s="131" t="str">
        <x:f>IF(A383="","",W382)</x:f>
      </x:c>
      <x:c r="E383" s="131" t="str">
        <x:f>IF(A383="","",ROUND(D383*Simulador!$I$18,2))</x:f>
      </x:c>
      <x:c r="F383" s="131" t="str">
        <x:f>IF(A383="","",ROUND(MIN(D383,MAX(G383-E383,0)),2))</x:f>
      </x:c>
      <x:c r="G383" s="131" t="str">
        <x:f>IF(A383="","",IF(A383&lt;Contrato!$C$16,Contrato!$C$27,Contrato!$C$28))</x:f>
      </x:c>
      <x:c r="H383" s="131" t="str">
        <x:f>IF(A383="","",Contrato!$C$29)</x:f>
      </x:c>
      <x:c r="I383" s="131" t="str">
        <x:f>IF(A383="","",Contrato!$C$30)</x:f>
      </x:c>
      <x:c r="J383" s="131" t="str">
        <x:f>IF(A383="","",Contrato!$C$31)</x:f>
      </x:c>
      <x:c r="K383" s="131" t="str">
        <x:f>IF(A383="","",ROUND(SUM(G383:J383),2))</x:f>
      </x:c>
      <x:c r="L383" s="80"/>
      <x:c r="M383" s="77"/>
      <x:c r="N383" s="29" t="str">
        <x:f>IF(A383="","",IF(L383&gt;=K383,"Paga",IF(L383&gt;0,"Paga parcialmente",IF(C383&lt;$A$5,"Vencida","Prevista"))))</x:f>
      </x:c>
      <x:c r="O383" s="29" t="str">
        <x:f>IF(A383="","",$A$5-C383)</x:f>
      </x:c>
      <x:c r="P383" s="131" t="str">
        <x:f>IF(A383="","",IF(AND(O383&gt;0,MAX(K383-L383,0)&gt;0,N383&lt;&gt;"Paga"),ROUND(MAX(K383-L383,0)*'Parâmetros'!$B$34,2),0))</x:f>
      </x:c>
      <x:c r="Q383" s="131" t="str">
        <x:f>IF(A383="","",IF(AND(O383&gt;0,MAX(K383-L383,0)&gt;0,N383&lt;&gt;"Paga"),ROUND(MAX(K383-L383,0)*'Parâmetros'!$B$35*(O383/'Parâmetros'!$B$33),2),0))</x:f>
      </x:c>
      <x:c r="R383" s="131" t="str">
        <x:f>IF(A383="","",IF(O383&gt;0,ROUND(MAX(K383-L383,0)+P383+Q383,2),0))</x:f>
      </x:c>
      <x:c r="S383" s="131" t="str">
        <x:f>IF(A383="","",IF(OR(N383="Paga",O383&gt;0),0,ROUND(IF(K383=0,0,G383*MAX(K383-L383,0)/K383)/(1+'Parâmetros'!$C$13)^((C383-$A$5)/30),2)))</x:f>
      </x:c>
      <x:c r="T383" s="131" t="str">
        <x:f>IF(A383="","",0)</x:f>
      </x:c>
      <x:c r="U383" s="131" t="str">
        <x:f>IF(A383="","",0)</x:f>
      </x:c>
      <x:c r="V383" s="131" t="str">
        <x:f>IF(A383="","",IF(N383="Paga",0,IF(O383&gt;0,R383,S383)))</x:f>
      </x:c>
      <x:c r="W383" s="131" t="str">
        <x:f>IF(A383="","",ROUND(MAX(D383-F383,0),2))</x:f>
      </x:c>
      <x:c r="X383" s="131" t="str">
        <x:f>IF(A383="","",ROUND(SUM($G383:$G$407),2))</x:f>
      </x:c>
      <x:c r="Y383" s="131" t="str">
        <x:f>IF(A383="","",ROUND(MAX(X383-D383,0),2))</x:f>
      </x:c>
      <x:c r="Z383" s="131" t="str">
        <x:f>IF(A383="","",ROUND(SUM($V383:$V$407),2))</x:f>
      </x:c>
      <x:c r="AA383" s="131" t="str">
        <x:f>IF(A383="","",ROUND(SUM($K383:$K$407)-Z383,2))</x:f>
      </x:c>
      <x:c r="AB383" s="77"/>
      <x:c r="AC383" s="36" t="str">
        <x:f>IF(A383="","",IF(O383&gt;0,"Vencido: saldo da fatura + mora",IF(O383&lt;=0,"Vincendo: VP da parcela financeira; comissão/proteção futuras isentas","")))</x:f>
      </x:c>
    </x:row>
    <x:row r="384">
      <x:c r="A384" s="129" t="str">
        <x:f>IF(ROW()-7&lt;=Contrato!$C$16,ROW()-7,"")</x:f>
      </x:c>
      <x:c r="B384" s="129" t="str">
        <x:f>IF(A384="","",Contrato!$C$16)</x:f>
      </x:c>
      <x:c r="C384" s="130" t="str">
        <x:f>IF(A384="","",IF(AB384&lt;&gt;"",AB384,IF(Contrato!$C$14="Mensal",EDATE(Contrato!$C$13,A384-1),Contrato!$C$13+(A384-1)*IF(Contrato!$C$14="Quinzenal",14,IF(Contrato!$C$14="Semanal",7,1)))))</x:f>
      </x:c>
      <x:c r="D384" s="131" t="str">
        <x:f>IF(A384="","",W383)</x:f>
      </x:c>
      <x:c r="E384" s="131" t="str">
        <x:f>IF(A384="","",ROUND(D384*Simulador!$I$18,2))</x:f>
      </x:c>
      <x:c r="F384" s="131" t="str">
        <x:f>IF(A384="","",ROUND(MIN(D384,MAX(G384-E384,0)),2))</x:f>
      </x:c>
      <x:c r="G384" s="131" t="str">
        <x:f>IF(A384="","",IF(A384&lt;Contrato!$C$16,Contrato!$C$27,Contrato!$C$28))</x:f>
      </x:c>
      <x:c r="H384" s="131" t="str">
        <x:f>IF(A384="","",Contrato!$C$29)</x:f>
      </x:c>
      <x:c r="I384" s="131" t="str">
        <x:f>IF(A384="","",Contrato!$C$30)</x:f>
      </x:c>
      <x:c r="J384" s="131" t="str">
        <x:f>IF(A384="","",Contrato!$C$31)</x:f>
      </x:c>
      <x:c r="K384" s="131" t="str">
        <x:f>IF(A384="","",ROUND(SUM(G384:J384),2))</x:f>
      </x:c>
      <x:c r="L384" s="80"/>
      <x:c r="M384" s="77"/>
      <x:c r="N384" s="29" t="str">
        <x:f>IF(A384="","",IF(L384&gt;=K384,"Paga",IF(L384&gt;0,"Paga parcialmente",IF(C384&lt;$A$5,"Vencida","Prevista"))))</x:f>
      </x:c>
      <x:c r="O384" s="29" t="str">
        <x:f>IF(A384="","",$A$5-C384)</x:f>
      </x:c>
      <x:c r="P384" s="131" t="str">
        <x:f>IF(A384="","",IF(AND(O384&gt;0,MAX(K384-L384,0)&gt;0,N384&lt;&gt;"Paga"),ROUND(MAX(K384-L384,0)*'Parâmetros'!$B$34,2),0))</x:f>
      </x:c>
      <x:c r="Q384" s="131" t="str">
        <x:f>IF(A384="","",IF(AND(O384&gt;0,MAX(K384-L384,0)&gt;0,N384&lt;&gt;"Paga"),ROUND(MAX(K384-L384,0)*'Parâmetros'!$B$35*(O384/'Parâmetros'!$B$33),2),0))</x:f>
      </x:c>
      <x:c r="R384" s="131" t="str">
        <x:f>IF(A384="","",IF(O384&gt;0,ROUND(MAX(K384-L384,0)+P384+Q384,2),0))</x:f>
      </x:c>
      <x:c r="S384" s="131" t="str">
        <x:f>IF(A384="","",IF(OR(N384="Paga",O384&gt;0),0,ROUND(IF(K384=0,0,G384*MAX(K384-L384,0)/K384)/(1+'Parâmetros'!$C$13)^((C384-$A$5)/30),2)))</x:f>
      </x:c>
      <x:c r="T384" s="131" t="str">
        <x:f>IF(A384="","",0)</x:f>
      </x:c>
      <x:c r="U384" s="131" t="str">
        <x:f>IF(A384="","",0)</x:f>
      </x:c>
      <x:c r="V384" s="131" t="str">
        <x:f>IF(A384="","",IF(N384="Paga",0,IF(O384&gt;0,R384,S384)))</x:f>
      </x:c>
      <x:c r="W384" s="131" t="str">
        <x:f>IF(A384="","",ROUND(MAX(D384-F384,0),2))</x:f>
      </x:c>
      <x:c r="X384" s="131" t="str">
        <x:f>IF(A384="","",ROUND(SUM($G384:$G$407),2))</x:f>
      </x:c>
      <x:c r="Y384" s="131" t="str">
        <x:f>IF(A384="","",ROUND(MAX(X384-D384,0),2))</x:f>
      </x:c>
      <x:c r="Z384" s="131" t="str">
        <x:f>IF(A384="","",ROUND(SUM($V384:$V$407),2))</x:f>
      </x:c>
      <x:c r="AA384" s="131" t="str">
        <x:f>IF(A384="","",ROUND(SUM($K384:$K$407)-Z384,2))</x:f>
      </x:c>
      <x:c r="AB384" s="77"/>
      <x:c r="AC384" s="36" t="str">
        <x:f>IF(A384="","",IF(O384&gt;0,"Vencido: saldo da fatura + mora",IF(O384&lt;=0,"Vincendo: VP da parcela financeira; comissão/proteção futuras isentas","")))</x:f>
      </x:c>
    </x:row>
    <x:row r="385">
      <x:c r="A385" s="129" t="str">
        <x:f>IF(ROW()-7&lt;=Contrato!$C$16,ROW()-7,"")</x:f>
      </x:c>
      <x:c r="B385" s="129" t="str">
        <x:f>IF(A385="","",Contrato!$C$16)</x:f>
      </x:c>
      <x:c r="C385" s="130" t="str">
        <x:f>IF(A385="","",IF(AB385&lt;&gt;"",AB385,IF(Contrato!$C$14="Mensal",EDATE(Contrato!$C$13,A385-1),Contrato!$C$13+(A385-1)*IF(Contrato!$C$14="Quinzenal",14,IF(Contrato!$C$14="Semanal",7,1)))))</x:f>
      </x:c>
      <x:c r="D385" s="131" t="str">
        <x:f>IF(A385="","",W384)</x:f>
      </x:c>
      <x:c r="E385" s="131" t="str">
        <x:f>IF(A385="","",ROUND(D385*Simulador!$I$18,2))</x:f>
      </x:c>
      <x:c r="F385" s="131" t="str">
        <x:f>IF(A385="","",ROUND(MIN(D385,MAX(G385-E385,0)),2))</x:f>
      </x:c>
      <x:c r="G385" s="131" t="str">
        <x:f>IF(A385="","",IF(A385&lt;Contrato!$C$16,Contrato!$C$27,Contrato!$C$28))</x:f>
      </x:c>
      <x:c r="H385" s="131" t="str">
        <x:f>IF(A385="","",Contrato!$C$29)</x:f>
      </x:c>
      <x:c r="I385" s="131" t="str">
        <x:f>IF(A385="","",Contrato!$C$30)</x:f>
      </x:c>
      <x:c r="J385" s="131" t="str">
        <x:f>IF(A385="","",Contrato!$C$31)</x:f>
      </x:c>
      <x:c r="K385" s="131" t="str">
        <x:f>IF(A385="","",ROUND(SUM(G385:J385),2))</x:f>
      </x:c>
      <x:c r="L385" s="80"/>
      <x:c r="M385" s="77"/>
      <x:c r="N385" s="29" t="str">
        <x:f>IF(A385="","",IF(L385&gt;=K385,"Paga",IF(L385&gt;0,"Paga parcialmente",IF(C385&lt;$A$5,"Vencida","Prevista"))))</x:f>
      </x:c>
      <x:c r="O385" s="29" t="str">
        <x:f>IF(A385="","",$A$5-C385)</x:f>
      </x:c>
      <x:c r="P385" s="131" t="str">
        <x:f>IF(A385="","",IF(AND(O385&gt;0,MAX(K385-L385,0)&gt;0,N385&lt;&gt;"Paga"),ROUND(MAX(K385-L385,0)*'Parâmetros'!$B$34,2),0))</x:f>
      </x:c>
      <x:c r="Q385" s="131" t="str">
        <x:f>IF(A385="","",IF(AND(O385&gt;0,MAX(K385-L385,0)&gt;0,N385&lt;&gt;"Paga"),ROUND(MAX(K385-L385,0)*'Parâmetros'!$B$35*(O385/'Parâmetros'!$B$33),2),0))</x:f>
      </x:c>
      <x:c r="R385" s="131" t="str">
        <x:f>IF(A385="","",IF(O385&gt;0,ROUND(MAX(K385-L385,0)+P385+Q385,2),0))</x:f>
      </x:c>
      <x:c r="S385" s="131" t="str">
        <x:f>IF(A385="","",IF(OR(N385="Paga",O385&gt;0),0,ROUND(IF(K385=0,0,G385*MAX(K385-L385,0)/K385)/(1+'Parâmetros'!$C$13)^((C385-$A$5)/30),2)))</x:f>
      </x:c>
      <x:c r="T385" s="131" t="str">
        <x:f>IF(A385="","",0)</x:f>
      </x:c>
      <x:c r="U385" s="131" t="str">
        <x:f>IF(A385="","",0)</x:f>
      </x:c>
      <x:c r="V385" s="131" t="str">
        <x:f>IF(A385="","",IF(N385="Paga",0,IF(O385&gt;0,R385,S385)))</x:f>
      </x:c>
      <x:c r="W385" s="131" t="str">
        <x:f>IF(A385="","",ROUND(MAX(D385-F385,0),2))</x:f>
      </x:c>
      <x:c r="X385" s="131" t="str">
        <x:f>IF(A385="","",ROUND(SUM($G385:$G$407),2))</x:f>
      </x:c>
      <x:c r="Y385" s="131" t="str">
        <x:f>IF(A385="","",ROUND(MAX(X385-D385,0),2))</x:f>
      </x:c>
      <x:c r="Z385" s="131" t="str">
        <x:f>IF(A385="","",ROUND(SUM($V385:$V$407),2))</x:f>
      </x:c>
      <x:c r="AA385" s="131" t="str">
        <x:f>IF(A385="","",ROUND(SUM($K385:$K$407)-Z385,2))</x:f>
      </x:c>
      <x:c r="AB385" s="77"/>
      <x:c r="AC385" s="36" t="str">
        <x:f>IF(A385="","",IF(O385&gt;0,"Vencido: saldo da fatura + mora",IF(O385&lt;=0,"Vincendo: VP da parcela financeira; comissão/proteção futuras isentas","")))</x:f>
      </x:c>
    </x:row>
    <x:row r="386">
      <x:c r="A386" s="129" t="str">
        <x:f>IF(ROW()-7&lt;=Contrato!$C$16,ROW()-7,"")</x:f>
      </x:c>
      <x:c r="B386" s="129" t="str">
        <x:f>IF(A386="","",Contrato!$C$16)</x:f>
      </x:c>
      <x:c r="C386" s="130" t="str">
        <x:f>IF(A386="","",IF(AB386&lt;&gt;"",AB386,IF(Contrato!$C$14="Mensal",EDATE(Contrato!$C$13,A386-1),Contrato!$C$13+(A386-1)*IF(Contrato!$C$14="Quinzenal",14,IF(Contrato!$C$14="Semanal",7,1)))))</x:f>
      </x:c>
      <x:c r="D386" s="131" t="str">
        <x:f>IF(A386="","",W385)</x:f>
      </x:c>
      <x:c r="E386" s="131" t="str">
        <x:f>IF(A386="","",ROUND(D386*Simulador!$I$18,2))</x:f>
      </x:c>
      <x:c r="F386" s="131" t="str">
        <x:f>IF(A386="","",ROUND(MIN(D386,MAX(G386-E386,0)),2))</x:f>
      </x:c>
      <x:c r="G386" s="131" t="str">
        <x:f>IF(A386="","",IF(A386&lt;Contrato!$C$16,Contrato!$C$27,Contrato!$C$28))</x:f>
      </x:c>
      <x:c r="H386" s="131" t="str">
        <x:f>IF(A386="","",Contrato!$C$29)</x:f>
      </x:c>
      <x:c r="I386" s="131" t="str">
        <x:f>IF(A386="","",Contrato!$C$30)</x:f>
      </x:c>
      <x:c r="J386" s="131" t="str">
        <x:f>IF(A386="","",Contrato!$C$31)</x:f>
      </x:c>
      <x:c r="K386" s="131" t="str">
        <x:f>IF(A386="","",ROUND(SUM(G386:J386),2))</x:f>
      </x:c>
      <x:c r="L386" s="80"/>
      <x:c r="M386" s="77"/>
      <x:c r="N386" s="29" t="str">
        <x:f>IF(A386="","",IF(L386&gt;=K386,"Paga",IF(L386&gt;0,"Paga parcialmente",IF(C386&lt;$A$5,"Vencida","Prevista"))))</x:f>
      </x:c>
      <x:c r="O386" s="29" t="str">
        <x:f>IF(A386="","",$A$5-C386)</x:f>
      </x:c>
      <x:c r="P386" s="131" t="str">
        <x:f>IF(A386="","",IF(AND(O386&gt;0,MAX(K386-L386,0)&gt;0,N386&lt;&gt;"Paga"),ROUND(MAX(K386-L386,0)*'Parâmetros'!$B$34,2),0))</x:f>
      </x:c>
      <x:c r="Q386" s="131" t="str">
        <x:f>IF(A386="","",IF(AND(O386&gt;0,MAX(K386-L386,0)&gt;0,N386&lt;&gt;"Paga"),ROUND(MAX(K386-L386,0)*'Parâmetros'!$B$35*(O386/'Parâmetros'!$B$33),2),0))</x:f>
      </x:c>
      <x:c r="R386" s="131" t="str">
        <x:f>IF(A386="","",IF(O386&gt;0,ROUND(MAX(K386-L386,0)+P386+Q386,2),0))</x:f>
      </x:c>
      <x:c r="S386" s="131" t="str">
        <x:f>IF(A386="","",IF(OR(N386="Paga",O386&gt;0),0,ROUND(IF(K386=0,0,G386*MAX(K386-L386,0)/K386)/(1+'Parâmetros'!$C$13)^((C386-$A$5)/30),2)))</x:f>
      </x:c>
      <x:c r="T386" s="131" t="str">
        <x:f>IF(A386="","",0)</x:f>
      </x:c>
      <x:c r="U386" s="131" t="str">
        <x:f>IF(A386="","",0)</x:f>
      </x:c>
      <x:c r="V386" s="131" t="str">
        <x:f>IF(A386="","",IF(N386="Paga",0,IF(O386&gt;0,R386,S386)))</x:f>
      </x:c>
      <x:c r="W386" s="131" t="str">
        <x:f>IF(A386="","",ROUND(MAX(D386-F386,0),2))</x:f>
      </x:c>
      <x:c r="X386" s="131" t="str">
        <x:f>IF(A386="","",ROUND(SUM($G386:$G$407),2))</x:f>
      </x:c>
      <x:c r="Y386" s="131" t="str">
        <x:f>IF(A386="","",ROUND(MAX(X386-D386,0),2))</x:f>
      </x:c>
      <x:c r="Z386" s="131" t="str">
        <x:f>IF(A386="","",ROUND(SUM($V386:$V$407),2))</x:f>
      </x:c>
      <x:c r="AA386" s="131" t="str">
        <x:f>IF(A386="","",ROUND(SUM($K386:$K$407)-Z386,2))</x:f>
      </x:c>
      <x:c r="AB386" s="77"/>
      <x:c r="AC386" s="36" t="str">
        <x:f>IF(A386="","",IF(O386&gt;0,"Vencido: saldo da fatura + mora",IF(O386&lt;=0,"Vincendo: VP da parcela financeira; comissão/proteção futuras isentas","")))</x:f>
      </x:c>
    </x:row>
    <x:row r="387">
      <x:c r="A387" s="129" t="str">
        <x:f>IF(ROW()-7&lt;=Contrato!$C$16,ROW()-7,"")</x:f>
      </x:c>
      <x:c r="B387" s="129" t="str">
        <x:f>IF(A387="","",Contrato!$C$16)</x:f>
      </x:c>
      <x:c r="C387" s="130" t="str">
        <x:f>IF(A387="","",IF(AB387&lt;&gt;"",AB387,IF(Contrato!$C$14="Mensal",EDATE(Contrato!$C$13,A387-1),Contrato!$C$13+(A387-1)*IF(Contrato!$C$14="Quinzenal",14,IF(Contrato!$C$14="Semanal",7,1)))))</x:f>
      </x:c>
      <x:c r="D387" s="131" t="str">
        <x:f>IF(A387="","",W386)</x:f>
      </x:c>
      <x:c r="E387" s="131" t="str">
        <x:f>IF(A387="","",ROUND(D387*Simulador!$I$18,2))</x:f>
      </x:c>
      <x:c r="F387" s="131" t="str">
        <x:f>IF(A387="","",ROUND(MIN(D387,MAX(G387-E387,0)),2))</x:f>
      </x:c>
      <x:c r="G387" s="131" t="str">
        <x:f>IF(A387="","",IF(A387&lt;Contrato!$C$16,Contrato!$C$27,Contrato!$C$28))</x:f>
      </x:c>
      <x:c r="H387" s="131" t="str">
        <x:f>IF(A387="","",Contrato!$C$29)</x:f>
      </x:c>
      <x:c r="I387" s="131" t="str">
        <x:f>IF(A387="","",Contrato!$C$30)</x:f>
      </x:c>
      <x:c r="J387" s="131" t="str">
        <x:f>IF(A387="","",Contrato!$C$31)</x:f>
      </x:c>
      <x:c r="K387" s="131" t="str">
        <x:f>IF(A387="","",ROUND(SUM(G387:J387),2))</x:f>
      </x:c>
      <x:c r="L387" s="80"/>
      <x:c r="M387" s="77"/>
      <x:c r="N387" s="29" t="str">
        <x:f>IF(A387="","",IF(L387&gt;=K387,"Paga",IF(L387&gt;0,"Paga parcialmente",IF(C387&lt;$A$5,"Vencida","Prevista"))))</x:f>
      </x:c>
      <x:c r="O387" s="29" t="str">
        <x:f>IF(A387="","",$A$5-C387)</x:f>
      </x:c>
      <x:c r="P387" s="131" t="str">
        <x:f>IF(A387="","",IF(AND(O387&gt;0,MAX(K387-L387,0)&gt;0,N387&lt;&gt;"Paga"),ROUND(MAX(K387-L387,0)*'Parâmetros'!$B$34,2),0))</x:f>
      </x:c>
      <x:c r="Q387" s="131" t="str">
        <x:f>IF(A387="","",IF(AND(O387&gt;0,MAX(K387-L387,0)&gt;0,N387&lt;&gt;"Paga"),ROUND(MAX(K387-L387,0)*'Parâmetros'!$B$35*(O387/'Parâmetros'!$B$33),2),0))</x:f>
      </x:c>
      <x:c r="R387" s="131" t="str">
        <x:f>IF(A387="","",IF(O387&gt;0,ROUND(MAX(K387-L387,0)+P387+Q387,2),0))</x:f>
      </x:c>
      <x:c r="S387" s="131" t="str">
        <x:f>IF(A387="","",IF(OR(N387="Paga",O387&gt;0),0,ROUND(IF(K387=0,0,G387*MAX(K387-L387,0)/K387)/(1+'Parâmetros'!$C$13)^((C387-$A$5)/30),2)))</x:f>
      </x:c>
      <x:c r="T387" s="131" t="str">
        <x:f>IF(A387="","",0)</x:f>
      </x:c>
      <x:c r="U387" s="131" t="str">
        <x:f>IF(A387="","",0)</x:f>
      </x:c>
      <x:c r="V387" s="131" t="str">
        <x:f>IF(A387="","",IF(N387="Paga",0,IF(O387&gt;0,R387,S387)))</x:f>
      </x:c>
      <x:c r="W387" s="131" t="str">
        <x:f>IF(A387="","",ROUND(MAX(D387-F387,0),2))</x:f>
      </x:c>
      <x:c r="X387" s="131" t="str">
        <x:f>IF(A387="","",ROUND(SUM($G387:$G$407),2))</x:f>
      </x:c>
      <x:c r="Y387" s="131" t="str">
        <x:f>IF(A387="","",ROUND(MAX(X387-D387,0),2))</x:f>
      </x:c>
      <x:c r="Z387" s="131" t="str">
        <x:f>IF(A387="","",ROUND(SUM($V387:$V$407),2))</x:f>
      </x:c>
      <x:c r="AA387" s="131" t="str">
        <x:f>IF(A387="","",ROUND(SUM($K387:$K$407)-Z387,2))</x:f>
      </x:c>
      <x:c r="AB387" s="77"/>
      <x:c r="AC387" s="36" t="str">
        <x:f>IF(A387="","",IF(O387&gt;0,"Vencido: saldo da fatura + mora",IF(O387&lt;=0,"Vincendo: VP da parcela financeira; comissão/proteção futuras isentas","")))</x:f>
      </x:c>
    </x:row>
    <x:row r="388">
      <x:c r="A388" s="129" t="str">
        <x:f>IF(ROW()-7&lt;=Contrato!$C$16,ROW()-7,"")</x:f>
      </x:c>
      <x:c r="B388" s="129" t="str">
        <x:f>IF(A388="","",Contrato!$C$16)</x:f>
      </x:c>
      <x:c r="C388" s="130" t="str">
        <x:f>IF(A388="","",IF(AB388&lt;&gt;"",AB388,IF(Contrato!$C$14="Mensal",EDATE(Contrato!$C$13,A388-1),Contrato!$C$13+(A388-1)*IF(Contrato!$C$14="Quinzenal",14,IF(Contrato!$C$14="Semanal",7,1)))))</x:f>
      </x:c>
      <x:c r="D388" s="131" t="str">
        <x:f>IF(A388="","",W387)</x:f>
      </x:c>
      <x:c r="E388" s="131" t="str">
        <x:f>IF(A388="","",ROUND(D388*Simulador!$I$18,2))</x:f>
      </x:c>
      <x:c r="F388" s="131" t="str">
        <x:f>IF(A388="","",ROUND(MIN(D388,MAX(G388-E388,0)),2))</x:f>
      </x:c>
      <x:c r="G388" s="131" t="str">
        <x:f>IF(A388="","",IF(A388&lt;Contrato!$C$16,Contrato!$C$27,Contrato!$C$28))</x:f>
      </x:c>
      <x:c r="H388" s="131" t="str">
        <x:f>IF(A388="","",Contrato!$C$29)</x:f>
      </x:c>
      <x:c r="I388" s="131" t="str">
        <x:f>IF(A388="","",Contrato!$C$30)</x:f>
      </x:c>
      <x:c r="J388" s="131" t="str">
        <x:f>IF(A388="","",Contrato!$C$31)</x:f>
      </x:c>
      <x:c r="K388" s="131" t="str">
        <x:f>IF(A388="","",ROUND(SUM(G388:J388),2))</x:f>
      </x:c>
      <x:c r="L388" s="80"/>
      <x:c r="M388" s="77"/>
      <x:c r="N388" s="29" t="str">
        <x:f>IF(A388="","",IF(L388&gt;=K388,"Paga",IF(L388&gt;0,"Paga parcialmente",IF(C388&lt;$A$5,"Vencida","Prevista"))))</x:f>
      </x:c>
      <x:c r="O388" s="29" t="str">
        <x:f>IF(A388="","",$A$5-C388)</x:f>
      </x:c>
      <x:c r="P388" s="131" t="str">
        <x:f>IF(A388="","",IF(AND(O388&gt;0,MAX(K388-L388,0)&gt;0,N388&lt;&gt;"Paga"),ROUND(MAX(K388-L388,0)*'Parâmetros'!$B$34,2),0))</x:f>
      </x:c>
      <x:c r="Q388" s="131" t="str">
        <x:f>IF(A388="","",IF(AND(O388&gt;0,MAX(K388-L388,0)&gt;0,N388&lt;&gt;"Paga"),ROUND(MAX(K388-L388,0)*'Parâmetros'!$B$35*(O388/'Parâmetros'!$B$33),2),0))</x:f>
      </x:c>
      <x:c r="R388" s="131" t="str">
        <x:f>IF(A388="","",IF(O388&gt;0,ROUND(MAX(K388-L388,0)+P388+Q388,2),0))</x:f>
      </x:c>
      <x:c r="S388" s="131" t="str">
        <x:f>IF(A388="","",IF(OR(N388="Paga",O388&gt;0),0,ROUND(IF(K388=0,0,G388*MAX(K388-L388,0)/K388)/(1+'Parâmetros'!$C$13)^((C388-$A$5)/30),2)))</x:f>
      </x:c>
      <x:c r="T388" s="131" t="str">
        <x:f>IF(A388="","",0)</x:f>
      </x:c>
      <x:c r="U388" s="131" t="str">
        <x:f>IF(A388="","",0)</x:f>
      </x:c>
      <x:c r="V388" s="131" t="str">
        <x:f>IF(A388="","",IF(N388="Paga",0,IF(O388&gt;0,R388,S388)))</x:f>
      </x:c>
      <x:c r="W388" s="131" t="str">
        <x:f>IF(A388="","",ROUND(MAX(D388-F388,0),2))</x:f>
      </x:c>
      <x:c r="X388" s="131" t="str">
        <x:f>IF(A388="","",ROUND(SUM($G388:$G$407),2))</x:f>
      </x:c>
      <x:c r="Y388" s="131" t="str">
        <x:f>IF(A388="","",ROUND(MAX(X388-D388,0),2))</x:f>
      </x:c>
      <x:c r="Z388" s="131" t="str">
        <x:f>IF(A388="","",ROUND(SUM($V388:$V$407),2))</x:f>
      </x:c>
      <x:c r="AA388" s="131" t="str">
        <x:f>IF(A388="","",ROUND(SUM($K388:$K$407)-Z388,2))</x:f>
      </x:c>
      <x:c r="AB388" s="77"/>
      <x:c r="AC388" s="36" t="str">
        <x:f>IF(A388="","",IF(O388&gt;0,"Vencido: saldo da fatura + mora",IF(O388&lt;=0,"Vincendo: VP da parcela financeira; comissão/proteção futuras isentas","")))</x:f>
      </x:c>
    </x:row>
    <x:row r="389">
      <x:c r="A389" s="129" t="str">
        <x:f>IF(ROW()-7&lt;=Contrato!$C$16,ROW()-7,"")</x:f>
      </x:c>
      <x:c r="B389" s="129" t="str">
        <x:f>IF(A389="","",Contrato!$C$16)</x:f>
      </x:c>
      <x:c r="C389" s="130" t="str">
        <x:f>IF(A389="","",IF(AB389&lt;&gt;"",AB389,IF(Contrato!$C$14="Mensal",EDATE(Contrato!$C$13,A389-1),Contrato!$C$13+(A389-1)*IF(Contrato!$C$14="Quinzenal",14,IF(Contrato!$C$14="Semanal",7,1)))))</x:f>
      </x:c>
      <x:c r="D389" s="131" t="str">
        <x:f>IF(A389="","",W388)</x:f>
      </x:c>
      <x:c r="E389" s="131" t="str">
        <x:f>IF(A389="","",ROUND(D389*Simulador!$I$18,2))</x:f>
      </x:c>
      <x:c r="F389" s="131" t="str">
        <x:f>IF(A389="","",ROUND(MIN(D389,MAX(G389-E389,0)),2))</x:f>
      </x:c>
      <x:c r="G389" s="131" t="str">
        <x:f>IF(A389="","",IF(A389&lt;Contrato!$C$16,Contrato!$C$27,Contrato!$C$28))</x:f>
      </x:c>
      <x:c r="H389" s="131" t="str">
        <x:f>IF(A389="","",Contrato!$C$29)</x:f>
      </x:c>
      <x:c r="I389" s="131" t="str">
        <x:f>IF(A389="","",Contrato!$C$30)</x:f>
      </x:c>
      <x:c r="J389" s="131" t="str">
        <x:f>IF(A389="","",Contrato!$C$31)</x:f>
      </x:c>
      <x:c r="K389" s="131" t="str">
        <x:f>IF(A389="","",ROUND(SUM(G389:J389),2))</x:f>
      </x:c>
      <x:c r="L389" s="80"/>
      <x:c r="M389" s="77"/>
      <x:c r="N389" s="29" t="str">
        <x:f>IF(A389="","",IF(L389&gt;=K389,"Paga",IF(L389&gt;0,"Paga parcialmente",IF(C389&lt;$A$5,"Vencida","Prevista"))))</x:f>
      </x:c>
      <x:c r="O389" s="29" t="str">
        <x:f>IF(A389="","",$A$5-C389)</x:f>
      </x:c>
      <x:c r="P389" s="131" t="str">
        <x:f>IF(A389="","",IF(AND(O389&gt;0,MAX(K389-L389,0)&gt;0,N389&lt;&gt;"Paga"),ROUND(MAX(K389-L389,0)*'Parâmetros'!$B$34,2),0))</x:f>
      </x:c>
      <x:c r="Q389" s="131" t="str">
        <x:f>IF(A389="","",IF(AND(O389&gt;0,MAX(K389-L389,0)&gt;0,N389&lt;&gt;"Paga"),ROUND(MAX(K389-L389,0)*'Parâmetros'!$B$35*(O389/'Parâmetros'!$B$33),2),0))</x:f>
      </x:c>
      <x:c r="R389" s="131" t="str">
        <x:f>IF(A389="","",IF(O389&gt;0,ROUND(MAX(K389-L389,0)+P389+Q389,2),0))</x:f>
      </x:c>
      <x:c r="S389" s="131" t="str">
        <x:f>IF(A389="","",IF(OR(N389="Paga",O389&gt;0),0,ROUND(IF(K389=0,0,G389*MAX(K389-L389,0)/K389)/(1+'Parâmetros'!$C$13)^((C389-$A$5)/30),2)))</x:f>
      </x:c>
      <x:c r="T389" s="131" t="str">
        <x:f>IF(A389="","",0)</x:f>
      </x:c>
      <x:c r="U389" s="131" t="str">
        <x:f>IF(A389="","",0)</x:f>
      </x:c>
      <x:c r="V389" s="131" t="str">
        <x:f>IF(A389="","",IF(N389="Paga",0,IF(O389&gt;0,R389,S389)))</x:f>
      </x:c>
      <x:c r="W389" s="131" t="str">
        <x:f>IF(A389="","",ROUND(MAX(D389-F389,0),2))</x:f>
      </x:c>
      <x:c r="X389" s="131" t="str">
        <x:f>IF(A389="","",ROUND(SUM($G389:$G$407),2))</x:f>
      </x:c>
      <x:c r="Y389" s="131" t="str">
        <x:f>IF(A389="","",ROUND(MAX(X389-D389,0),2))</x:f>
      </x:c>
      <x:c r="Z389" s="131" t="str">
        <x:f>IF(A389="","",ROUND(SUM($V389:$V$407),2))</x:f>
      </x:c>
      <x:c r="AA389" s="131" t="str">
        <x:f>IF(A389="","",ROUND(SUM($K389:$K$407)-Z389,2))</x:f>
      </x:c>
      <x:c r="AB389" s="77"/>
      <x:c r="AC389" s="36" t="str">
        <x:f>IF(A389="","",IF(O389&gt;0,"Vencido: saldo da fatura + mora",IF(O389&lt;=0,"Vincendo: VP da parcela financeira; comissão/proteção futuras isentas","")))</x:f>
      </x:c>
    </x:row>
    <x:row r="390">
      <x:c r="A390" s="129" t="str">
        <x:f>IF(ROW()-7&lt;=Contrato!$C$16,ROW()-7,"")</x:f>
      </x:c>
      <x:c r="B390" s="129" t="str">
        <x:f>IF(A390="","",Contrato!$C$16)</x:f>
      </x:c>
      <x:c r="C390" s="130" t="str">
        <x:f>IF(A390="","",IF(AB390&lt;&gt;"",AB390,IF(Contrato!$C$14="Mensal",EDATE(Contrato!$C$13,A390-1),Contrato!$C$13+(A390-1)*IF(Contrato!$C$14="Quinzenal",14,IF(Contrato!$C$14="Semanal",7,1)))))</x:f>
      </x:c>
      <x:c r="D390" s="131" t="str">
        <x:f>IF(A390="","",W389)</x:f>
      </x:c>
      <x:c r="E390" s="131" t="str">
        <x:f>IF(A390="","",ROUND(D390*Simulador!$I$18,2))</x:f>
      </x:c>
      <x:c r="F390" s="131" t="str">
        <x:f>IF(A390="","",ROUND(MIN(D390,MAX(G390-E390,0)),2))</x:f>
      </x:c>
      <x:c r="G390" s="131" t="str">
        <x:f>IF(A390="","",IF(A390&lt;Contrato!$C$16,Contrato!$C$27,Contrato!$C$28))</x:f>
      </x:c>
      <x:c r="H390" s="131" t="str">
        <x:f>IF(A390="","",Contrato!$C$29)</x:f>
      </x:c>
      <x:c r="I390" s="131" t="str">
        <x:f>IF(A390="","",Contrato!$C$30)</x:f>
      </x:c>
      <x:c r="J390" s="131" t="str">
        <x:f>IF(A390="","",Contrato!$C$31)</x:f>
      </x:c>
      <x:c r="K390" s="131" t="str">
        <x:f>IF(A390="","",ROUND(SUM(G390:J390),2))</x:f>
      </x:c>
      <x:c r="L390" s="80"/>
      <x:c r="M390" s="77"/>
      <x:c r="N390" s="29" t="str">
        <x:f>IF(A390="","",IF(L390&gt;=K390,"Paga",IF(L390&gt;0,"Paga parcialmente",IF(C390&lt;$A$5,"Vencida","Prevista"))))</x:f>
      </x:c>
      <x:c r="O390" s="29" t="str">
        <x:f>IF(A390="","",$A$5-C390)</x:f>
      </x:c>
      <x:c r="P390" s="131" t="str">
        <x:f>IF(A390="","",IF(AND(O390&gt;0,MAX(K390-L390,0)&gt;0,N390&lt;&gt;"Paga"),ROUND(MAX(K390-L390,0)*'Parâmetros'!$B$34,2),0))</x:f>
      </x:c>
      <x:c r="Q390" s="131" t="str">
        <x:f>IF(A390="","",IF(AND(O390&gt;0,MAX(K390-L390,0)&gt;0,N390&lt;&gt;"Paga"),ROUND(MAX(K390-L390,0)*'Parâmetros'!$B$35*(O390/'Parâmetros'!$B$33),2),0))</x:f>
      </x:c>
      <x:c r="R390" s="131" t="str">
        <x:f>IF(A390="","",IF(O390&gt;0,ROUND(MAX(K390-L390,0)+P390+Q390,2),0))</x:f>
      </x:c>
      <x:c r="S390" s="131" t="str">
        <x:f>IF(A390="","",IF(OR(N390="Paga",O390&gt;0),0,ROUND(IF(K390=0,0,G390*MAX(K390-L390,0)/K390)/(1+'Parâmetros'!$C$13)^((C390-$A$5)/30),2)))</x:f>
      </x:c>
      <x:c r="T390" s="131" t="str">
        <x:f>IF(A390="","",0)</x:f>
      </x:c>
      <x:c r="U390" s="131" t="str">
        <x:f>IF(A390="","",0)</x:f>
      </x:c>
      <x:c r="V390" s="131" t="str">
        <x:f>IF(A390="","",IF(N390="Paga",0,IF(O390&gt;0,R390,S390)))</x:f>
      </x:c>
      <x:c r="W390" s="131" t="str">
        <x:f>IF(A390="","",ROUND(MAX(D390-F390,0),2))</x:f>
      </x:c>
      <x:c r="X390" s="131" t="str">
        <x:f>IF(A390="","",ROUND(SUM($G390:$G$407),2))</x:f>
      </x:c>
      <x:c r="Y390" s="131" t="str">
        <x:f>IF(A390="","",ROUND(MAX(X390-D390,0),2))</x:f>
      </x:c>
      <x:c r="Z390" s="131" t="str">
        <x:f>IF(A390="","",ROUND(SUM($V390:$V$407),2))</x:f>
      </x:c>
      <x:c r="AA390" s="131" t="str">
        <x:f>IF(A390="","",ROUND(SUM($K390:$K$407)-Z390,2))</x:f>
      </x:c>
      <x:c r="AB390" s="77"/>
      <x:c r="AC390" s="36" t="str">
        <x:f>IF(A390="","",IF(O390&gt;0,"Vencido: saldo da fatura + mora",IF(O390&lt;=0,"Vincendo: VP da parcela financeira; comissão/proteção futuras isentas","")))</x:f>
      </x:c>
    </x:row>
    <x:row r="391">
      <x:c r="A391" s="129" t="str">
        <x:f>IF(ROW()-7&lt;=Contrato!$C$16,ROW()-7,"")</x:f>
      </x:c>
      <x:c r="B391" s="129" t="str">
        <x:f>IF(A391="","",Contrato!$C$16)</x:f>
      </x:c>
      <x:c r="C391" s="130" t="str">
        <x:f>IF(A391="","",IF(AB391&lt;&gt;"",AB391,IF(Contrato!$C$14="Mensal",EDATE(Contrato!$C$13,A391-1),Contrato!$C$13+(A391-1)*IF(Contrato!$C$14="Quinzenal",14,IF(Contrato!$C$14="Semanal",7,1)))))</x:f>
      </x:c>
      <x:c r="D391" s="131" t="str">
        <x:f>IF(A391="","",W390)</x:f>
      </x:c>
      <x:c r="E391" s="131" t="str">
        <x:f>IF(A391="","",ROUND(D391*Simulador!$I$18,2))</x:f>
      </x:c>
      <x:c r="F391" s="131" t="str">
        <x:f>IF(A391="","",ROUND(MIN(D391,MAX(G391-E391,0)),2))</x:f>
      </x:c>
      <x:c r="G391" s="131" t="str">
        <x:f>IF(A391="","",IF(A391&lt;Contrato!$C$16,Contrato!$C$27,Contrato!$C$28))</x:f>
      </x:c>
      <x:c r="H391" s="131" t="str">
        <x:f>IF(A391="","",Contrato!$C$29)</x:f>
      </x:c>
      <x:c r="I391" s="131" t="str">
        <x:f>IF(A391="","",Contrato!$C$30)</x:f>
      </x:c>
      <x:c r="J391" s="131" t="str">
        <x:f>IF(A391="","",Contrato!$C$31)</x:f>
      </x:c>
      <x:c r="K391" s="131" t="str">
        <x:f>IF(A391="","",ROUND(SUM(G391:J391),2))</x:f>
      </x:c>
      <x:c r="L391" s="80"/>
      <x:c r="M391" s="77"/>
      <x:c r="N391" s="29" t="str">
        <x:f>IF(A391="","",IF(L391&gt;=K391,"Paga",IF(L391&gt;0,"Paga parcialmente",IF(C391&lt;$A$5,"Vencida","Prevista"))))</x:f>
      </x:c>
      <x:c r="O391" s="29" t="str">
        <x:f>IF(A391="","",$A$5-C391)</x:f>
      </x:c>
      <x:c r="P391" s="131" t="str">
        <x:f>IF(A391="","",IF(AND(O391&gt;0,MAX(K391-L391,0)&gt;0,N391&lt;&gt;"Paga"),ROUND(MAX(K391-L391,0)*'Parâmetros'!$B$34,2),0))</x:f>
      </x:c>
      <x:c r="Q391" s="131" t="str">
        <x:f>IF(A391="","",IF(AND(O391&gt;0,MAX(K391-L391,0)&gt;0,N391&lt;&gt;"Paga"),ROUND(MAX(K391-L391,0)*'Parâmetros'!$B$35*(O391/'Parâmetros'!$B$33),2),0))</x:f>
      </x:c>
      <x:c r="R391" s="131" t="str">
        <x:f>IF(A391="","",IF(O391&gt;0,ROUND(MAX(K391-L391,0)+P391+Q391,2),0))</x:f>
      </x:c>
      <x:c r="S391" s="131" t="str">
        <x:f>IF(A391="","",IF(OR(N391="Paga",O391&gt;0),0,ROUND(IF(K391=0,0,G391*MAX(K391-L391,0)/K391)/(1+'Parâmetros'!$C$13)^((C391-$A$5)/30),2)))</x:f>
      </x:c>
      <x:c r="T391" s="131" t="str">
        <x:f>IF(A391="","",0)</x:f>
      </x:c>
      <x:c r="U391" s="131" t="str">
        <x:f>IF(A391="","",0)</x:f>
      </x:c>
      <x:c r="V391" s="131" t="str">
        <x:f>IF(A391="","",IF(N391="Paga",0,IF(O391&gt;0,R391,S391)))</x:f>
      </x:c>
      <x:c r="W391" s="131" t="str">
        <x:f>IF(A391="","",ROUND(MAX(D391-F391,0),2))</x:f>
      </x:c>
      <x:c r="X391" s="131" t="str">
        <x:f>IF(A391="","",ROUND(SUM($G391:$G$407),2))</x:f>
      </x:c>
      <x:c r="Y391" s="131" t="str">
        <x:f>IF(A391="","",ROUND(MAX(X391-D391,0),2))</x:f>
      </x:c>
      <x:c r="Z391" s="131" t="str">
        <x:f>IF(A391="","",ROUND(SUM($V391:$V$407),2))</x:f>
      </x:c>
      <x:c r="AA391" s="131" t="str">
        <x:f>IF(A391="","",ROUND(SUM($K391:$K$407)-Z391,2))</x:f>
      </x:c>
      <x:c r="AB391" s="77"/>
      <x:c r="AC391" s="36" t="str">
        <x:f>IF(A391="","",IF(O391&gt;0,"Vencido: saldo da fatura + mora",IF(O391&lt;=0,"Vincendo: VP da parcela financeira; comissão/proteção futuras isentas","")))</x:f>
      </x:c>
    </x:row>
    <x:row r="392">
      <x:c r="A392" s="129" t="str">
        <x:f>IF(ROW()-7&lt;=Contrato!$C$16,ROW()-7,"")</x:f>
      </x:c>
      <x:c r="B392" s="129" t="str">
        <x:f>IF(A392="","",Contrato!$C$16)</x:f>
      </x:c>
      <x:c r="C392" s="130" t="str">
        <x:f>IF(A392="","",IF(AB392&lt;&gt;"",AB392,IF(Contrato!$C$14="Mensal",EDATE(Contrato!$C$13,A392-1),Contrato!$C$13+(A392-1)*IF(Contrato!$C$14="Quinzenal",14,IF(Contrato!$C$14="Semanal",7,1)))))</x:f>
      </x:c>
      <x:c r="D392" s="131" t="str">
        <x:f>IF(A392="","",W391)</x:f>
      </x:c>
      <x:c r="E392" s="131" t="str">
        <x:f>IF(A392="","",ROUND(D392*Simulador!$I$18,2))</x:f>
      </x:c>
      <x:c r="F392" s="131" t="str">
        <x:f>IF(A392="","",ROUND(MIN(D392,MAX(G392-E392,0)),2))</x:f>
      </x:c>
      <x:c r="G392" s="131" t="str">
        <x:f>IF(A392="","",IF(A392&lt;Contrato!$C$16,Contrato!$C$27,Contrato!$C$28))</x:f>
      </x:c>
      <x:c r="H392" s="131" t="str">
        <x:f>IF(A392="","",Contrato!$C$29)</x:f>
      </x:c>
      <x:c r="I392" s="131" t="str">
        <x:f>IF(A392="","",Contrato!$C$30)</x:f>
      </x:c>
      <x:c r="J392" s="131" t="str">
        <x:f>IF(A392="","",Contrato!$C$31)</x:f>
      </x:c>
      <x:c r="K392" s="131" t="str">
        <x:f>IF(A392="","",ROUND(SUM(G392:J392),2))</x:f>
      </x:c>
      <x:c r="L392" s="80"/>
      <x:c r="M392" s="77"/>
      <x:c r="N392" s="29" t="str">
        <x:f>IF(A392="","",IF(L392&gt;=K392,"Paga",IF(L392&gt;0,"Paga parcialmente",IF(C392&lt;$A$5,"Vencida","Prevista"))))</x:f>
      </x:c>
      <x:c r="O392" s="29" t="str">
        <x:f>IF(A392="","",$A$5-C392)</x:f>
      </x:c>
      <x:c r="P392" s="131" t="str">
        <x:f>IF(A392="","",IF(AND(O392&gt;0,MAX(K392-L392,0)&gt;0,N392&lt;&gt;"Paga"),ROUND(MAX(K392-L392,0)*'Parâmetros'!$B$34,2),0))</x:f>
      </x:c>
      <x:c r="Q392" s="131" t="str">
        <x:f>IF(A392="","",IF(AND(O392&gt;0,MAX(K392-L392,0)&gt;0,N392&lt;&gt;"Paga"),ROUND(MAX(K392-L392,0)*'Parâmetros'!$B$35*(O392/'Parâmetros'!$B$33),2),0))</x:f>
      </x:c>
      <x:c r="R392" s="131" t="str">
        <x:f>IF(A392="","",IF(O392&gt;0,ROUND(MAX(K392-L392,0)+P392+Q392,2),0))</x:f>
      </x:c>
      <x:c r="S392" s="131" t="str">
        <x:f>IF(A392="","",IF(OR(N392="Paga",O392&gt;0),0,ROUND(IF(K392=0,0,G392*MAX(K392-L392,0)/K392)/(1+'Parâmetros'!$C$13)^((C392-$A$5)/30),2)))</x:f>
      </x:c>
      <x:c r="T392" s="131" t="str">
        <x:f>IF(A392="","",0)</x:f>
      </x:c>
      <x:c r="U392" s="131" t="str">
        <x:f>IF(A392="","",0)</x:f>
      </x:c>
      <x:c r="V392" s="131" t="str">
        <x:f>IF(A392="","",IF(N392="Paga",0,IF(O392&gt;0,R392,S392)))</x:f>
      </x:c>
      <x:c r="W392" s="131" t="str">
        <x:f>IF(A392="","",ROUND(MAX(D392-F392,0),2))</x:f>
      </x:c>
      <x:c r="X392" s="131" t="str">
        <x:f>IF(A392="","",ROUND(SUM($G392:$G$407),2))</x:f>
      </x:c>
      <x:c r="Y392" s="131" t="str">
        <x:f>IF(A392="","",ROUND(MAX(X392-D392,0),2))</x:f>
      </x:c>
      <x:c r="Z392" s="131" t="str">
        <x:f>IF(A392="","",ROUND(SUM($V392:$V$407),2))</x:f>
      </x:c>
      <x:c r="AA392" s="131" t="str">
        <x:f>IF(A392="","",ROUND(SUM($K392:$K$407)-Z392,2))</x:f>
      </x:c>
      <x:c r="AB392" s="77"/>
      <x:c r="AC392" s="36" t="str">
        <x:f>IF(A392="","",IF(O392&gt;0,"Vencido: saldo da fatura + mora",IF(O392&lt;=0,"Vincendo: VP da parcela financeira; comissão/proteção futuras isentas","")))</x:f>
      </x:c>
    </x:row>
    <x:row r="393">
      <x:c r="A393" s="129" t="str">
        <x:f>IF(ROW()-7&lt;=Contrato!$C$16,ROW()-7,"")</x:f>
      </x:c>
      <x:c r="B393" s="129" t="str">
        <x:f>IF(A393="","",Contrato!$C$16)</x:f>
      </x:c>
      <x:c r="C393" s="130" t="str">
        <x:f>IF(A393="","",IF(AB393&lt;&gt;"",AB393,IF(Contrato!$C$14="Mensal",EDATE(Contrato!$C$13,A393-1),Contrato!$C$13+(A393-1)*IF(Contrato!$C$14="Quinzenal",14,IF(Contrato!$C$14="Semanal",7,1)))))</x:f>
      </x:c>
      <x:c r="D393" s="131" t="str">
        <x:f>IF(A393="","",W392)</x:f>
      </x:c>
      <x:c r="E393" s="131" t="str">
        <x:f>IF(A393="","",ROUND(D393*Simulador!$I$18,2))</x:f>
      </x:c>
      <x:c r="F393" s="131" t="str">
        <x:f>IF(A393="","",ROUND(MIN(D393,MAX(G393-E393,0)),2))</x:f>
      </x:c>
      <x:c r="G393" s="131" t="str">
        <x:f>IF(A393="","",IF(A393&lt;Contrato!$C$16,Contrato!$C$27,Contrato!$C$28))</x:f>
      </x:c>
      <x:c r="H393" s="131" t="str">
        <x:f>IF(A393="","",Contrato!$C$29)</x:f>
      </x:c>
      <x:c r="I393" s="131" t="str">
        <x:f>IF(A393="","",Contrato!$C$30)</x:f>
      </x:c>
      <x:c r="J393" s="131" t="str">
        <x:f>IF(A393="","",Contrato!$C$31)</x:f>
      </x:c>
      <x:c r="K393" s="131" t="str">
        <x:f>IF(A393="","",ROUND(SUM(G393:J393),2))</x:f>
      </x:c>
      <x:c r="L393" s="80"/>
      <x:c r="M393" s="77"/>
      <x:c r="N393" s="29" t="str">
        <x:f>IF(A393="","",IF(L393&gt;=K393,"Paga",IF(L393&gt;0,"Paga parcialmente",IF(C393&lt;$A$5,"Vencida","Prevista"))))</x:f>
      </x:c>
      <x:c r="O393" s="29" t="str">
        <x:f>IF(A393="","",$A$5-C393)</x:f>
      </x:c>
      <x:c r="P393" s="131" t="str">
        <x:f>IF(A393="","",IF(AND(O393&gt;0,MAX(K393-L393,0)&gt;0,N393&lt;&gt;"Paga"),ROUND(MAX(K393-L393,0)*'Parâmetros'!$B$34,2),0))</x:f>
      </x:c>
      <x:c r="Q393" s="131" t="str">
        <x:f>IF(A393="","",IF(AND(O393&gt;0,MAX(K393-L393,0)&gt;0,N393&lt;&gt;"Paga"),ROUND(MAX(K393-L393,0)*'Parâmetros'!$B$35*(O393/'Parâmetros'!$B$33),2),0))</x:f>
      </x:c>
      <x:c r="R393" s="131" t="str">
        <x:f>IF(A393="","",IF(O393&gt;0,ROUND(MAX(K393-L393,0)+P393+Q393,2),0))</x:f>
      </x:c>
      <x:c r="S393" s="131" t="str">
        <x:f>IF(A393="","",IF(OR(N393="Paga",O393&gt;0),0,ROUND(IF(K393=0,0,G393*MAX(K393-L393,0)/K393)/(1+'Parâmetros'!$C$13)^((C393-$A$5)/30),2)))</x:f>
      </x:c>
      <x:c r="T393" s="131" t="str">
        <x:f>IF(A393="","",0)</x:f>
      </x:c>
      <x:c r="U393" s="131" t="str">
        <x:f>IF(A393="","",0)</x:f>
      </x:c>
      <x:c r="V393" s="131" t="str">
        <x:f>IF(A393="","",IF(N393="Paga",0,IF(O393&gt;0,R393,S393)))</x:f>
      </x:c>
      <x:c r="W393" s="131" t="str">
        <x:f>IF(A393="","",ROUND(MAX(D393-F393,0),2))</x:f>
      </x:c>
      <x:c r="X393" s="131" t="str">
        <x:f>IF(A393="","",ROUND(SUM($G393:$G$407),2))</x:f>
      </x:c>
      <x:c r="Y393" s="131" t="str">
        <x:f>IF(A393="","",ROUND(MAX(X393-D393,0),2))</x:f>
      </x:c>
      <x:c r="Z393" s="131" t="str">
        <x:f>IF(A393="","",ROUND(SUM($V393:$V$407),2))</x:f>
      </x:c>
      <x:c r="AA393" s="131" t="str">
        <x:f>IF(A393="","",ROUND(SUM($K393:$K$407)-Z393,2))</x:f>
      </x:c>
      <x:c r="AB393" s="77"/>
      <x:c r="AC393" s="36" t="str">
        <x:f>IF(A393="","",IF(O393&gt;0,"Vencido: saldo da fatura + mora",IF(O393&lt;=0,"Vincendo: VP da parcela financeira; comissão/proteção futuras isentas","")))</x:f>
      </x:c>
    </x:row>
    <x:row r="394">
      <x:c r="A394" s="129" t="str">
        <x:f>IF(ROW()-7&lt;=Contrato!$C$16,ROW()-7,"")</x:f>
      </x:c>
      <x:c r="B394" s="129" t="str">
        <x:f>IF(A394="","",Contrato!$C$16)</x:f>
      </x:c>
      <x:c r="C394" s="130" t="str">
        <x:f>IF(A394="","",IF(AB394&lt;&gt;"",AB394,IF(Contrato!$C$14="Mensal",EDATE(Contrato!$C$13,A394-1),Contrato!$C$13+(A394-1)*IF(Contrato!$C$14="Quinzenal",14,IF(Contrato!$C$14="Semanal",7,1)))))</x:f>
      </x:c>
      <x:c r="D394" s="131" t="str">
        <x:f>IF(A394="","",W393)</x:f>
      </x:c>
      <x:c r="E394" s="131" t="str">
        <x:f>IF(A394="","",ROUND(D394*Simulador!$I$18,2))</x:f>
      </x:c>
      <x:c r="F394" s="131" t="str">
        <x:f>IF(A394="","",ROUND(MIN(D394,MAX(G394-E394,0)),2))</x:f>
      </x:c>
      <x:c r="G394" s="131" t="str">
        <x:f>IF(A394="","",IF(A394&lt;Contrato!$C$16,Contrato!$C$27,Contrato!$C$28))</x:f>
      </x:c>
      <x:c r="H394" s="131" t="str">
        <x:f>IF(A394="","",Contrato!$C$29)</x:f>
      </x:c>
      <x:c r="I394" s="131" t="str">
        <x:f>IF(A394="","",Contrato!$C$30)</x:f>
      </x:c>
      <x:c r="J394" s="131" t="str">
        <x:f>IF(A394="","",Contrato!$C$31)</x:f>
      </x:c>
      <x:c r="K394" s="131" t="str">
        <x:f>IF(A394="","",ROUND(SUM(G394:J394),2))</x:f>
      </x:c>
      <x:c r="L394" s="80"/>
      <x:c r="M394" s="77"/>
      <x:c r="N394" s="29" t="str">
        <x:f>IF(A394="","",IF(L394&gt;=K394,"Paga",IF(L394&gt;0,"Paga parcialmente",IF(C394&lt;$A$5,"Vencida","Prevista"))))</x:f>
      </x:c>
      <x:c r="O394" s="29" t="str">
        <x:f>IF(A394="","",$A$5-C394)</x:f>
      </x:c>
      <x:c r="P394" s="131" t="str">
        <x:f>IF(A394="","",IF(AND(O394&gt;0,MAX(K394-L394,0)&gt;0,N394&lt;&gt;"Paga"),ROUND(MAX(K394-L394,0)*'Parâmetros'!$B$34,2),0))</x:f>
      </x:c>
      <x:c r="Q394" s="131" t="str">
        <x:f>IF(A394="","",IF(AND(O394&gt;0,MAX(K394-L394,0)&gt;0,N394&lt;&gt;"Paga"),ROUND(MAX(K394-L394,0)*'Parâmetros'!$B$35*(O394/'Parâmetros'!$B$33),2),0))</x:f>
      </x:c>
      <x:c r="R394" s="131" t="str">
        <x:f>IF(A394="","",IF(O394&gt;0,ROUND(MAX(K394-L394,0)+P394+Q394,2),0))</x:f>
      </x:c>
      <x:c r="S394" s="131" t="str">
        <x:f>IF(A394="","",IF(OR(N394="Paga",O394&gt;0),0,ROUND(IF(K394=0,0,G394*MAX(K394-L394,0)/K394)/(1+'Parâmetros'!$C$13)^((C394-$A$5)/30),2)))</x:f>
      </x:c>
      <x:c r="T394" s="131" t="str">
        <x:f>IF(A394="","",0)</x:f>
      </x:c>
      <x:c r="U394" s="131" t="str">
        <x:f>IF(A394="","",0)</x:f>
      </x:c>
      <x:c r="V394" s="131" t="str">
        <x:f>IF(A394="","",IF(N394="Paga",0,IF(O394&gt;0,R394,S394)))</x:f>
      </x:c>
      <x:c r="W394" s="131" t="str">
        <x:f>IF(A394="","",ROUND(MAX(D394-F394,0),2))</x:f>
      </x:c>
      <x:c r="X394" s="131" t="str">
        <x:f>IF(A394="","",ROUND(SUM($G394:$G$407),2))</x:f>
      </x:c>
      <x:c r="Y394" s="131" t="str">
        <x:f>IF(A394="","",ROUND(MAX(X394-D394,0),2))</x:f>
      </x:c>
      <x:c r="Z394" s="131" t="str">
        <x:f>IF(A394="","",ROUND(SUM($V394:$V$407),2))</x:f>
      </x:c>
      <x:c r="AA394" s="131" t="str">
        <x:f>IF(A394="","",ROUND(SUM($K394:$K$407)-Z394,2))</x:f>
      </x:c>
      <x:c r="AB394" s="77"/>
      <x:c r="AC394" s="36" t="str">
        <x:f>IF(A394="","",IF(O394&gt;0,"Vencido: saldo da fatura + mora",IF(O394&lt;=0,"Vincendo: VP da parcela financeira; comissão/proteção futuras isentas","")))</x:f>
      </x:c>
    </x:row>
    <x:row r="395">
      <x:c r="A395" s="129" t="str">
        <x:f>IF(ROW()-7&lt;=Contrato!$C$16,ROW()-7,"")</x:f>
      </x:c>
      <x:c r="B395" s="129" t="str">
        <x:f>IF(A395="","",Contrato!$C$16)</x:f>
      </x:c>
      <x:c r="C395" s="130" t="str">
        <x:f>IF(A395="","",IF(AB395&lt;&gt;"",AB395,IF(Contrato!$C$14="Mensal",EDATE(Contrato!$C$13,A395-1),Contrato!$C$13+(A395-1)*IF(Contrato!$C$14="Quinzenal",14,IF(Contrato!$C$14="Semanal",7,1)))))</x:f>
      </x:c>
      <x:c r="D395" s="131" t="str">
        <x:f>IF(A395="","",W394)</x:f>
      </x:c>
      <x:c r="E395" s="131" t="str">
        <x:f>IF(A395="","",ROUND(D395*Simulador!$I$18,2))</x:f>
      </x:c>
      <x:c r="F395" s="131" t="str">
        <x:f>IF(A395="","",ROUND(MIN(D395,MAX(G395-E395,0)),2))</x:f>
      </x:c>
      <x:c r="G395" s="131" t="str">
        <x:f>IF(A395="","",IF(A395&lt;Contrato!$C$16,Contrato!$C$27,Contrato!$C$28))</x:f>
      </x:c>
      <x:c r="H395" s="131" t="str">
        <x:f>IF(A395="","",Contrato!$C$29)</x:f>
      </x:c>
      <x:c r="I395" s="131" t="str">
        <x:f>IF(A395="","",Contrato!$C$30)</x:f>
      </x:c>
      <x:c r="J395" s="131" t="str">
        <x:f>IF(A395="","",Contrato!$C$31)</x:f>
      </x:c>
      <x:c r="K395" s="131" t="str">
        <x:f>IF(A395="","",ROUND(SUM(G395:J395),2))</x:f>
      </x:c>
      <x:c r="L395" s="80"/>
      <x:c r="M395" s="77"/>
      <x:c r="N395" s="29" t="str">
        <x:f>IF(A395="","",IF(L395&gt;=K395,"Paga",IF(L395&gt;0,"Paga parcialmente",IF(C395&lt;$A$5,"Vencida","Prevista"))))</x:f>
      </x:c>
      <x:c r="O395" s="29" t="str">
        <x:f>IF(A395="","",$A$5-C395)</x:f>
      </x:c>
      <x:c r="P395" s="131" t="str">
        <x:f>IF(A395="","",IF(AND(O395&gt;0,MAX(K395-L395,0)&gt;0,N395&lt;&gt;"Paga"),ROUND(MAX(K395-L395,0)*'Parâmetros'!$B$34,2),0))</x:f>
      </x:c>
      <x:c r="Q395" s="131" t="str">
        <x:f>IF(A395="","",IF(AND(O395&gt;0,MAX(K395-L395,0)&gt;0,N395&lt;&gt;"Paga"),ROUND(MAX(K395-L395,0)*'Parâmetros'!$B$35*(O395/'Parâmetros'!$B$33),2),0))</x:f>
      </x:c>
      <x:c r="R395" s="131" t="str">
        <x:f>IF(A395="","",IF(O395&gt;0,ROUND(MAX(K395-L395,0)+P395+Q395,2),0))</x:f>
      </x:c>
      <x:c r="S395" s="131" t="str">
        <x:f>IF(A395="","",IF(OR(N395="Paga",O395&gt;0),0,ROUND(IF(K395=0,0,G395*MAX(K395-L395,0)/K395)/(1+'Parâmetros'!$C$13)^((C395-$A$5)/30),2)))</x:f>
      </x:c>
      <x:c r="T395" s="131" t="str">
        <x:f>IF(A395="","",0)</x:f>
      </x:c>
      <x:c r="U395" s="131" t="str">
        <x:f>IF(A395="","",0)</x:f>
      </x:c>
      <x:c r="V395" s="131" t="str">
        <x:f>IF(A395="","",IF(N395="Paga",0,IF(O395&gt;0,R395,S395)))</x:f>
      </x:c>
      <x:c r="W395" s="131" t="str">
        <x:f>IF(A395="","",ROUND(MAX(D395-F395,0),2))</x:f>
      </x:c>
      <x:c r="X395" s="131" t="str">
        <x:f>IF(A395="","",ROUND(SUM($G395:$G$407),2))</x:f>
      </x:c>
      <x:c r="Y395" s="131" t="str">
        <x:f>IF(A395="","",ROUND(MAX(X395-D395,0),2))</x:f>
      </x:c>
      <x:c r="Z395" s="131" t="str">
        <x:f>IF(A395="","",ROUND(SUM($V395:$V$407),2))</x:f>
      </x:c>
      <x:c r="AA395" s="131" t="str">
        <x:f>IF(A395="","",ROUND(SUM($K395:$K$407)-Z395,2))</x:f>
      </x:c>
      <x:c r="AB395" s="77"/>
      <x:c r="AC395" s="36" t="str">
        <x:f>IF(A395="","",IF(O395&gt;0,"Vencido: saldo da fatura + mora",IF(O395&lt;=0,"Vincendo: VP da parcela financeira; comissão/proteção futuras isentas","")))</x:f>
      </x:c>
    </x:row>
    <x:row r="396">
      <x:c r="A396" s="129" t="str">
        <x:f>IF(ROW()-7&lt;=Contrato!$C$16,ROW()-7,"")</x:f>
      </x:c>
      <x:c r="B396" s="129" t="str">
        <x:f>IF(A396="","",Contrato!$C$16)</x:f>
      </x:c>
      <x:c r="C396" s="130" t="str">
        <x:f>IF(A396="","",IF(AB396&lt;&gt;"",AB396,IF(Contrato!$C$14="Mensal",EDATE(Contrato!$C$13,A396-1),Contrato!$C$13+(A396-1)*IF(Contrato!$C$14="Quinzenal",14,IF(Contrato!$C$14="Semanal",7,1)))))</x:f>
      </x:c>
      <x:c r="D396" s="131" t="str">
        <x:f>IF(A396="","",W395)</x:f>
      </x:c>
      <x:c r="E396" s="131" t="str">
        <x:f>IF(A396="","",ROUND(D396*Simulador!$I$18,2))</x:f>
      </x:c>
      <x:c r="F396" s="131" t="str">
        <x:f>IF(A396="","",ROUND(MIN(D396,MAX(G396-E396,0)),2))</x:f>
      </x:c>
      <x:c r="G396" s="131" t="str">
        <x:f>IF(A396="","",IF(A396&lt;Contrato!$C$16,Contrato!$C$27,Contrato!$C$28))</x:f>
      </x:c>
      <x:c r="H396" s="131" t="str">
        <x:f>IF(A396="","",Contrato!$C$29)</x:f>
      </x:c>
      <x:c r="I396" s="131" t="str">
        <x:f>IF(A396="","",Contrato!$C$30)</x:f>
      </x:c>
      <x:c r="J396" s="131" t="str">
        <x:f>IF(A396="","",Contrato!$C$31)</x:f>
      </x:c>
      <x:c r="K396" s="131" t="str">
        <x:f>IF(A396="","",ROUND(SUM(G396:J396),2))</x:f>
      </x:c>
      <x:c r="L396" s="80"/>
      <x:c r="M396" s="77"/>
      <x:c r="N396" s="29" t="str">
        <x:f>IF(A396="","",IF(L396&gt;=K396,"Paga",IF(L396&gt;0,"Paga parcialmente",IF(C396&lt;$A$5,"Vencida","Prevista"))))</x:f>
      </x:c>
      <x:c r="O396" s="29" t="str">
        <x:f>IF(A396="","",$A$5-C396)</x:f>
      </x:c>
      <x:c r="P396" s="131" t="str">
        <x:f>IF(A396="","",IF(AND(O396&gt;0,MAX(K396-L396,0)&gt;0,N396&lt;&gt;"Paga"),ROUND(MAX(K396-L396,0)*'Parâmetros'!$B$34,2),0))</x:f>
      </x:c>
      <x:c r="Q396" s="131" t="str">
        <x:f>IF(A396="","",IF(AND(O396&gt;0,MAX(K396-L396,0)&gt;0,N396&lt;&gt;"Paga"),ROUND(MAX(K396-L396,0)*'Parâmetros'!$B$35*(O396/'Parâmetros'!$B$33),2),0))</x:f>
      </x:c>
      <x:c r="R396" s="131" t="str">
        <x:f>IF(A396="","",IF(O396&gt;0,ROUND(MAX(K396-L396,0)+P396+Q396,2),0))</x:f>
      </x:c>
      <x:c r="S396" s="131" t="str">
        <x:f>IF(A396="","",IF(OR(N396="Paga",O396&gt;0),0,ROUND(IF(K396=0,0,G396*MAX(K396-L396,0)/K396)/(1+'Parâmetros'!$C$13)^((C396-$A$5)/30),2)))</x:f>
      </x:c>
      <x:c r="T396" s="131" t="str">
        <x:f>IF(A396="","",0)</x:f>
      </x:c>
      <x:c r="U396" s="131" t="str">
        <x:f>IF(A396="","",0)</x:f>
      </x:c>
      <x:c r="V396" s="131" t="str">
        <x:f>IF(A396="","",IF(N396="Paga",0,IF(O396&gt;0,R396,S396)))</x:f>
      </x:c>
      <x:c r="W396" s="131" t="str">
        <x:f>IF(A396="","",ROUND(MAX(D396-F396,0),2))</x:f>
      </x:c>
      <x:c r="X396" s="131" t="str">
        <x:f>IF(A396="","",ROUND(SUM($G396:$G$407),2))</x:f>
      </x:c>
      <x:c r="Y396" s="131" t="str">
        <x:f>IF(A396="","",ROUND(MAX(X396-D396,0),2))</x:f>
      </x:c>
      <x:c r="Z396" s="131" t="str">
        <x:f>IF(A396="","",ROUND(SUM($V396:$V$407),2))</x:f>
      </x:c>
      <x:c r="AA396" s="131" t="str">
        <x:f>IF(A396="","",ROUND(SUM($K396:$K$407)-Z396,2))</x:f>
      </x:c>
      <x:c r="AB396" s="77"/>
      <x:c r="AC396" s="36" t="str">
        <x:f>IF(A396="","",IF(O396&gt;0,"Vencido: saldo da fatura + mora",IF(O396&lt;=0,"Vincendo: VP da parcela financeira; comissão/proteção futuras isentas","")))</x:f>
      </x:c>
    </x:row>
    <x:row r="397">
      <x:c r="A397" s="129" t="str">
        <x:f>IF(ROW()-7&lt;=Contrato!$C$16,ROW()-7,"")</x:f>
      </x:c>
      <x:c r="B397" s="129" t="str">
        <x:f>IF(A397="","",Contrato!$C$16)</x:f>
      </x:c>
      <x:c r="C397" s="130" t="str">
        <x:f>IF(A397="","",IF(AB397&lt;&gt;"",AB397,IF(Contrato!$C$14="Mensal",EDATE(Contrato!$C$13,A397-1),Contrato!$C$13+(A397-1)*IF(Contrato!$C$14="Quinzenal",14,IF(Contrato!$C$14="Semanal",7,1)))))</x:f>
      </x:c>
      <x:c r="D397" s="131" t="str">
        <x:f>IF(A397="","",W396)</x:f>
      </x:c>
      <x:c r="E397" s="131" t="str">
        <x:f>IF(A397="","",ROUND(D397*Simulador!$I$18,2))</x:f>
      </x:c>
      <x:c r="F397" s="131" t="str">
        <x:f>IF(A397="","",ROUND(MIN(D397,MAX(G397-E397,0)),2))</x:f>
      </x:c>
      <x:c r="G397" s="131" t="str">
        <x:f>IF(A397="","",IF(A397&lt;Contrato!$C$16,Contrato!$C$27,Contrato!$C$28))</x:f>
      </x:c>
      <x:c r="H397" s="131" t="str">
        <x:f>IF(A397="","",Contrato!$C$29)</x:f>
      </x:c>
      <x:c r="I397" s="131" t="str">
        <x:f>IF(A397="","",Contrato!$C$30)</x:f>
      </x:c>
      <x:c r="J397" s="131" t="str">
        <x:f>IF(A397="","",Contrato!$C$31)</x:f>
      </x:c>
      <x:c r="K397" s="131" t="str">
        <x:f>IF(A397="","",ROUND(SUM(G397:J397),2))</x:f>
      </x:c>
      <x:c r="L397" s="80"/>
      <x:c r="M397" s="77"/>
      <x:c r="N397" s="29" t="str">
        <x:f>IF(A397="","",IF(L397&gt;=K397,"Paga",IF(L397&gt;0,"Paga parcialmente",IF(C397&lt;$A$5,"Vencida","Prevista"))))</x:f>
      </x:c>
      <x:c r="O397" s="29" t="str">
        <x:f>IF(A397="","",$A$5-C397)</x:f>
      </x:c>
      <x:c r="P397" s="131" t="str">
        <x:f>IF(A397="","",IF(AND(O397&gt;0,MAX(K397-L397,0)&gt;0,N397&lt;&gt;"Paga"),ROUND(MAX(K397-L397,0)*'Parâmetros'!$B$34,2),0))</x:f>
      </x:c>
      <x:c r="Q397" s="131" t="str">
        <x:f>IF(A397="","",IF(AND(O397&gt;0,MAX(K397-L397,0)&gt;0,N397&lt;&gt;"Paga"),ROUND(MAX(K397-L397,0)*'Parâmetros'!$B$35*(O397/'Parâmetros'!$B$33),2),0))</x:f>
      </x:c>
      <x:c r="R397" s="131" t="str">
        <x:f>IF(A397="","",IF(O397&gt;0,ROUND(MAX(K397-L397,0)+P397+Q397,2),0))</x:f>
      </x:c>
      <x:c r="S397" s="131" t="str">
        <x:f>IF(A397="","",IF(OR(N397="Paga",O397&gt;0),0,ROUND(IF(K397=0,0,G397*MAX(K397-L397,0)/K397)/(1+'Parâmetros'!$C$13)^((C397-$A$5)/30),2)))</x:f>
      </x:c>
      <x:c r="T397" s="131" t="str">
        <x:f>IF(A397="","",0)</x:f>
      </x:c>
      <x:c r="U397" s="131" t="str">
        <x:f>IF(A397="","",0)</x:f>
      </x:c>
      <x:c r="V397" s="131" t="str">
        <x:f>IF(A397="","",IF(N397="Paga",0,IF(O397&gt;0,R397,S397)))</x:f>
      </x:c>
      <x:c r="W397" s="131" t="str">
        <x:f>IF(A397="","",ROUND(MAX(D397-F397,0),2))</x:f>
      </x:c>
      <x:c r="X397" s="131" t="str">
        <x:f>IF(A397="","",ROUND(SUM($G397:$G$407),2))</x:f>
      </x:c>
      <x:c r="Y397" s="131" t="str">
        <x:f>IF(A397="","",ROUND(MAX(X397-D397,0),2))</x:f>
      </x:c>
      <x:c r="Z397" s="131" t="str">
        <x:f>IF(A397="","",ROUND(SUM($V397:$V$407),2))</x:f>
      </x:c>
      <x:c r="AA397" s="131" t="str">
        <x:f>IF(A397="","",ROUND(SUM($K397:$K$407)-Z397,2))</x:f>
      </x:c>
      <x:c r="AB397" s="77"/>
      <x:c r="AC397" s="36" t="str">
        <x:f>IF(A397="","",IF(O397&gt;0,"Vencido: saldo da fatura + mora",IF(O397&lt;=0,"Vincendo: VP da parcela financeira; comissão/proteção futuras isentas","")))</x:f>
      </x:c>
    </x:row>
    <x:row r="398">
      <x:c r="A398" s="129" t="str">
        <x:f>IF(ROW()-7&lt;=Contrato!$C$16,ROW()-7,"")</x:f>
      </x:c>
      <x:c r="B398" s="129" t="str">
        <x:f>IF(A398="","",Contrato!$C$16)</x:f>
      </x:c>
      <x:c r="C398" s="130" t="str">
        <x:f>IF(A398="","",IF(AB398&lt;&gt;"",AB398,IF(Contrato!$C$14="Mensal",EDATE(Contrato!$C$13,A398-1),Contrato!$C$13+(A398-1)*IF(Contrato!$C$14="Quinzenal",14,IF(Contrato!$C$14="Semanal",7,1)))))</x:f>
      </x:c>
      <x:c r="D398" s="131" t="str">
        <x:f>IF(A398="","",W397)</x:f>
      </x:c>
      <x:c r="E398" s="131" t="str">
        <x:f>IF(A398="","",ROUND(D398*Simulador!$I$18,2))</x:f>
      </x:c>
      <x:c r="F398" s="131" t="str">
        <x:f>IF(A398="","",ROUND(MIN(D398,MAX(G398-E398,0)),2))</x:f>
      </x:c>
      <x:c r="G398" s="131" t="str">
        <x:f>IF(A398="","",IF(A398&lt;Contrato!$C$16,Contrato!$C$27,Contrato!$C$28))</x:f>
      </x:c>
      <x:c r="H398" s="131" t="str">
        <x:f>IF(A398="","",Contrato!$C$29)</x:f>
      </x:c>
      <x:c r="I398" s="131" t="str">
        <x:f>IF(A398="","",Contrato!$C$30)</x:f>
      </x:c>
      <x:c r="J398" s="131" t="str">
        <x:f>IF(A398="","",Contrato!$C$31)</x:f>
      </x:c>
      <x:c r="K398" s="131" t="str">
        <x:f>IF(A398="","",ROUND(SUM(G398:J398),2))</x:f>
      </x:c>
      <x:c r="L398" s="80"/>
      <x:c r="M398" s="77"/>
      <x:c r="N398" s="29" t="str">
        <x:f>IF(A398="","",IF(L398&gt;=K398,"Paga",IF(L398&gt;0,"Paga parcialmente",IF(C398&lt;$A$5,"Vencida","Prevista"))))</x:f>
      </x:c>
      <x:c r="O398" s="29" t="str">
        <x:f>IF(A398="","",$A$5-C398)</x:f>
      </x:c>
      <x:c r="P398" s="131" t="str">
        <x:f>IF(A398="","",IF(AND(O398&gt;0,MAX(K398-L398,0)&gt;0,N398&lt;&gt;"Paga"),ROUND(MAX(K398-L398,0)*'Parâmetros'!$B$34,2),0))</x:f>
      </x:c>
      <x:c r="Q398" s="131" t="str">
        <x:f>IF(A398="","",IF(AND(O398&gt;0,MAX(K398-L398,0)&gt;0,N398&lt;&gt;"Paga"),ROUND(MAX(K398-L398,0)*'Parâmetros'!$B$35*(O398/'Parâmetros'!$B$33),2),0))</x:f>
      </x:c>
      <x:c r="R398" s="131" t="str">
        <x:f>IF(A398="","",IF(O398&gt;0,ROUND(MAX(K398-L398,0)+P398+Q398,2),0))</x:f>
      </x:c>
      <x:c r="S398" s="131" t="str">
        <x:f>IF(A398="","",IF(OR(N398="Paga",O398&gt;0),0,ROUND(IF(K398=0,0,G398*MAX(K398-L398,0)/K398)/(1+'Parâmetros'!$C$13)^((C398-$A$5)/30),2)))</x:f>
      </x:c>
      <x:c r="T398" s="131" t="str">
        <x:f>IF(A398="","",0)</x:f>
      </x:c>
      <x:c r="U398" s="131" t="str">
        <x:f>IF(A398="","",0)</x:f>
      </x:c>
      <x:c r="V398" s="131" t="str">
        <x:f>IF(A398="","",IF(N398="Paga",0,IF(O398&gt;0,R398,S398)))</x:f>
      </x:c>
      <x:c r="W398" s="131" t="str">
        <x:f>IF(A398="","",ROUND(MAX(D398-F398,0),2))</x:f>
      </x:c>
      <x:c r="X398" s="131" t="str">
        <x:f>IF(A398="","",ROUND(SUM($G398:$G$407),2))</x:f>
      </x:c>
      <x:c r="Y398" s="131" t="str">
        <x:f>IF(A398="","",ROUND(MAX(X398-D398,0),2))</x:f>
      </x:c>
      <x:c r="Z398" s="131" t="str">
        <x:f>IF(A398="","",ROUND(SUM($V398:$V$407),2))</x:f>
      </x:c>
      <x:c r="AA398" s="131" t="str">
        <x:f>IF(A398="","",ROUND(SUM($K398:$K$407)-Z398,2))</x:f>
      </x:c>
      <x:c r="AB398" s="77"/>
      <x:c r="AC398" s="36" t="str">
        <x:f>IF(A398="","",IF(O398&gt;0,"Vencido: saldo da fatura + mora",IF(O398&lt;=0,"Vincendo: VP da parcela financeira; comissão/proteção futuras isentas","")))</x:f>
      </x:c>
    </x:row>
    <x:row r="399">
      <x:c r="A399" s="129" t="str">
        <x:f>IF(ROW()-7&lt;=Contrato!$C$16,ROW()-7,"")</x:f>
      </x:c>
      <x:c r="B399" s="129" t="str">
        <x:f>IF(A399="","",Contrato!$C$16)</x:f>
      </x:c>
      <x:c r="C399" s="130" t="str">
        <x:f>IF(A399="","",IF(AB399&lt;&gt;"",AB399,IF(Contrato!$C$14="Mensal",EDATE(Contrato!$C$13,A399-1),Contrato!$C$13+(A399-1)*IF(Contrato!$C$14="Quinzenal",14,IF(Contrato!$C$14="Semanal",7,1)))))</x:f>
      </x:c>
      <x:c r="D399" s="131" t="str">
        <x:f>IF(A399="","",W398)</x:f>
      </x:c>
      <x:c r="E399" s="131" t="str">
        <x:f>IF(A399="","",ROUND(D399*Simulador!$I$18,2))</x:f>
      </x:c>
      <x:c r="F399" s="131" t="str">
        <x:f>IF(A399="","",ROUND(MIN(D399,MAX(G399-E399,0)),2))</x:f>
      </x:c>
      <x:c r="G399" s="131" t="str">
        <x:f>IF(A399="","",IF(A399&lt;Contrato!$C$16,Contrato!$C$27,Contrato!$C$28))</x:f>
      </x:c>
      <x:c r="H399" s="131" t="str">
        <x:f>IF(A399="","",Contrato!$C$29)</x:f>
      </x:c>
      <x:c r="I399" s="131" t="str">
        <x:f>IF(A399="","",Contrato!$C$30)</x:f>
      </x:c>
      <x:c r="J399" s="131" t="str">
        <x:f>IF(A399="","",Contrato!$C$31)</x:f>
      </x:c>
      <x:c r="K399" s="131" t="str">
        <x:f>IF(A399="","",ROUND(SUM(G399:J399),2))</x:f>
      </x:c>
      <x:c r="L399" s="80"/>
      <x:c r="M399" s="77"/>
      <x:c r="N399" s="29" t="str">
        <x:f>IF(A399="","",IF(L399&gt;=K399,"Paga",IF(L399&gt;0,"Paga parcialmente",IF(C399&lt;$A$5,"Vencida","Prevista"))))</x:f>
      </x:c>
      <x:c r="O399" s="29" t="str">
        <x:f>IF(A399="","",$A$5-C399)</x:f>
      </x:c>
      <x:c r="P399" s="131" t="str">
        <x:f>IF(A399="","",IF(AND(O399&gt;0,MAX(K399-L399,0)&gt;0,N399&lt;&gt;"Paga"),ROUND(MAX(K399-L399,0)*'Parâmetros'!$B$34,2),0))</x:f>
      </x:c>
      <x:c r="Q399" s="131" t="str">
        <x:f>IF(A399="","",IF(AND(O399&gt;0,MAX(K399-L399,0)&gt;0,N399&lt;&gt;"Paga"),ROUND(MAX(K399-L399,0)*'Parâmetros'!$B$35*(O399/'Parâmetros'!$B$33),2),0))</x:f>
      </x:c>
      <x:c r="R399" s="131" t="str">
        <x:f>IF(A399="","",IF(O399&gt;0,ROUND(MAX(K399-L399,0)+P399+Q399,2),0))</x:f>
      </x:c>
      <x:c r="S399" s="131" t="str">
        <x:f>IF(A399="","",IF(OR(N399="Paga",O399&gt;0),0,ROUND(IF(K399=0,0,G399*MAX(K399-L399,0)/K399)/(1+'Parâmetros'!$C$13)^((C399-$A$5)/30),2)))</x:f>
      </x:c>
      <x:c r="T399" s="131" t="str">
        <x:f>IF(A399="","",0)</x:f>
      </x:c>
      <x:c r="U399" s="131" t="str">
        <x:f>IF(A399="","",0)</x:f>
      </x:c>
      <x:c r="V399" s="131" t="str">
        <x:f>IF(A399="","",IF(N399="Paga",0,IF(O399&gt;0,R399,S399)))</x:f>
      </x:c>
      <x:c r="W399" s="131" t="str">
        <x:f>IF(A399="","",ROUND(MAX(D399-F399,0),2))</x:f>
      </x:c>
      <x:c r="X399" s="131" t="str">
        <x:f>IF(A399="","",ROUND(SUM($G399:$G$407),2))</x:f>
      </x:c>
      <x:c r="Y399" s="131" t="str">
        <x:f>IF(A399="","",ROUND(MAX(X399-D399,0),2))</x:f>
      </x:c>
      <x:c r="Z399" s="131" t="str">
        <x:f>IF(A399="","",ROUND(SUM($V399:$V$407),2))</x:f>
      </x:c>
      <x:c r="AA399" s="131" t="str">
        <x:f>IF(A399="","",ROUND(SUM($K399:$K$407)-Z399,2))</x:f>
      </x:c>
      <x:c r="AB399" s="77"/>
      <x:c r="AC399" s="36" t="str">
        <x:f>IF(A399="","",IF(O399&gt;0,"Vencido: saldo da fatura + mora",IF(O399&lt;=0,"Vincendo: VP da parcela financeira; comissão/proteção futuras isentas","")))</x:f>
      </x:c>
    </x:row>
    <x:row r="400">
      <x:c r="A400" s="129" t="str">
        <x:f>IF(ROW()-7&lt;=Contrato!$C$16,ROW()-7,"")</x:f>
      </x:c>
      <x:c r="B400" s="129" t="str">
        <x:f>IF(A400="","",Contrato!$C$16)</x:f>
      </x:c>
      <x:c r="C400" s="130" t="str">
        <x:f>IF(A400="","",IF(AB400&lt;&gt;"",AB400,IF(Contrato!$C$14="Mensal",EDATE(Contrato!$C$13,A400-1),Contrato!$C$13+(A400-1)*IF(Contrato!$C$14="Quinzenal",14,IF(Contrato!$C$14="Semanal",7,1)))))</x:f>
      </x:c>
      <x:c r="D400" s="131" t="str">
        <x:f>IF(A400="","",W399)</x:f>
      </x:c>
      <x:c r="E400" s="131" t="str">
        <x:f>IF(A400="","",ROUND(D400*Simulador!$I$18,2))</x:f>
      </x:c>
      <x:c r="F400" s="131" t="str">
        <x:f>IF(A400="","",ROUND(MIN(D400,MAX(G400-E400,0)),2))</x:f>
      </x:c>
      <x:c r="G400" s="131" t="str">
        <x:f>IF(A400="","",IF(A400&lt;Contrato!$C$16,Contrato!$C$27,Contrato!$C$28))</x:f>
      </x:c>
      <x:c r="H400" s="131" t="str">
        <x:f>IF(A400="","",Contrato!$C$29)</x:f>
      </x:c>
      <x:c r="I400" s="131" t="str">
        <x:f>IF(A400="","",Contrato!$C$30)</x:f>
      </x:c>
      <x:c r="J400" s="131" t="str">
        <x:f>IF(A400="","",Contrato!$C$31)</x:f>
      </x:c>
      <x:c r="K400" s="131" t="str">
        <x:f>IF(A400="","",ROUND(SUM(G400:J400),2))</x:f>
      </x:c>
      <x:c r="L400" s="80"/>
      <x:c r="M400" s="77"/>
      <x:c r="N400" s="29" t="str">
        <x:f>IF(A400="","",IF(L400&gt;=K400,"Paga",IF(L400&gt;0,"Paga parcialmente",IF(C400&lt;$A$5,"Vencida","Prevista"))))</x:f>
      </x:c>
      <x:c r="O400" s="29" t="str">
        <x:f>IF(A400="","",$A$5-C400)</x:f>
      </x:c>
      <x:c r="P400" s="131" t="str">
        <x:f>IF(A400="","",IF(AND(O400&gt;0,MAX(K400-L400,0)&gt;0,N400&lt;&gt;"Paga"),ROUND(MAX(K400-L400,0)*'Parâmetros'!$B$34,2),0))</x:f>
      </x:c>
      <x:c r="Q400" s="131" t="str">
        <x:f>IF(A400="","",IF(AND(O400&gt;0,MAX(K400-L400,0)&gt;0,N400&lt;&gt;"Paga"),ROUND(MAX(K400-L400,0)*'Parâmetros'!$B$35*(O400/'Parâmetros'!$B$33),2),0))</x:f>
      </x:c>
      <x:c r="R400" s="131" t="str">
        <x:f>IF(A400="","",IF(O400&gt;0,ROUND(MAX(K400-L400,0)+P400+Q400,2),0))</x:f>
      </x:c>
      <x:c r="S400" s="131" t="str">
        <x:f>IF(A400="","",IF(OR(N400="Paga",O400&gt;0),0,ROUND(IF(K400=0,0,G400*MAX(K400-L400,0)/K400)/(1+'Parâmetros'!$C$13)^((C400-$A$5)/30),2)))</x:f>
      </x:c>
      <x:c r="T400" s="131" t="str">
        <x:f>IF(A400="","",0)</x:f>
      </x:c>
      <x:c r="U400" s="131" t="str">
        <x:f>IF(A400="","",0)</x:f>
      </x:c>
      <x:c r="V400" s="131" t="str">
        <x:f>IF(A400="","",IF(N400="Paga",0,IF(O400&gt;0,R400,S400)))</x:f>
      </x:c>
      <x:c r="W400" s="131" t="str">
        <x:f>IF(A400="","",ROUND(MAX(D400-F400,0),2))</x:f>
      </x:c>
      <x:c r="X400" s="131" t="str">
        <x:f>IF(A400="","",ROUND(SUM($G400:$G$407),2))</x:f>
      </x:c>
      <x:c r="Y400" s="131" t="str">
        <x:f>IF(A400="","",ROUND(MAX(X400-D400,0),2))</x:f>
      </x:c>
      <x:c r="Z400" s="131" t="str">
        <x:f>IF(A400="","",ROUND(SUM($V400:$V$407),2))</x:f>
      </x:c>
      <x:c r="AA400" s="131" t="str">
        <x:f>IF(A400="","",ROUND(SUM($K400:$K$407)-Z400,2))</x:f>
      </x:c>
      <x:c r="AB400" s="77"/>
      <x:c r="AC400" s="36" t="str">
        <x:f>IF(A400="","",IF(O400&gt;0,"Vencido: saldo da fatura + mora",IF(O400&lt;=0,"Vincendo: VP da parcela financeira; comissão/proteção futuras isentas","")))</x:f>
      </x:c>
    </x:row>
    <x:row r="401">
      <x:c r="A401" s="129" t="str">
        <x:f>IF(ROW()-7&lt;=Contrato!$C$16,ROW()-7,"")</x:f>
      </x:c>
      <x:c r="B401" s="129" t="str">
        <x:f>IF(A401="","",Contrato!$C$16)</x:f>
      </x:c>
      <x:c r="C401" s="130" t="str">
        <x:f>IF(A401="","",IF(AB401&lt;&gt;"",AB401,IF(Contrato!$C$14="Mensal",EDATE(Contrato!$C$13,A401-1),Contrato!$C$13+(A401-1)*IF(Contrato!$C$14="Quinzenal",14,IF(Contrato!$C$14="Semanal",7,1)))))</x:f>
      </x:c>
      <x:c r="D401" s="131" t="str">
        <x:f>IF(A401="","",W400)</x:f>
      </x:c>
      <x:c r="E401" s="131" t="str">
        <x:f>IF(A401="","",ROUND(D401*Simulador!$I$18,2))</x:f>
      </x:c>
      <x:c r="F401" s="131" t="str">
        <x:f>IF(A401="","",ROUND(MIN(D401,MAX(G401-E401,0)),2))</x:f>
      </x:c>
      <x:c r="G401" s="131" t="str">
        <x:f>IF(A401="","",IF(A401&lt;Contrato!$C$16,Contrato!$C$27,Contrato!$C$28))</x:f>
      </x:c>
      <x:c r="H401" s="131" t="str">
        <x:f>IF(A401="","",Contrato!$C$29)</x:f>
      </x:c>
      <x:c r="I401" s="131" t="str">
        <x:f>IF(A401="","",Contrato!$C$30)</x:f>
      </x:c>
      <x:c r="J401" s="131" t="str">
        <x:f>IF(A401="","",Contrato!$C$31)</x:f>
      </x:c>
      <x:c r="K401" s="131" t="str">
        <x:f>IF(A401="","",ROUND(SUM(G401:J401),2))</x:f>
      </x:c>
      <x:c r="L401" s="80"/>
      <x:c r="M401" s="77"/>
      <x:c r="N401" s="29" t="str">
        <x:f>IF(A401="","",IF(L401&gt;=K401,"Paga",IF(L401&gt;0,"Paga parcialmente",IF(C401&lt;$A$5,"Vencida","Prevista"))))</x:f>
      </x:c>
      <x:c r="O401" s="29" t="str">
        <x:f>IF(A401="","",$A$5-C401)</x:f>
      </x:c>
      <x:c r="P401" s="131" t="str">
        <x:f>IF(A401="","",IF(AND(O401&gt;0,MAX(K401-L401,0)&gt;0,N401&lt;&gt;"Paga"),ROUND(MAX(K401-L401,0)*'Parâmetros'!$B$34,2),0))</x:f>
      </x:c>
      <x:c r="Q401" s="131" t="str">
        <x:f>IF(A401="","",IF(AND(O401&gt;0,MAX(K401-L401,0)&gt;0,N401&lt;&gt;"Paga"),ROUND(MAX(K401-L401,0)*'Parâmetros'!$B$35*(O401/'Parâmetros'!$B$33),2),0))</x:f>
      </x:c>
      <x:c r="R401" s="131" t="str">
        <x:f>IF(A401="","",IF(O401&gt;0,ROUND(MAX(K401-L401,0)+P401+Q401,2),0))</x:f>
      </x:c>
      <x:c r="S401" s="131" t="str">
        <x:f>IF(A401="","",IF(OR(N401="Paga",O401&gt;0),0,ROUND(IF(K401=0,0,G401*MAX(K401-L401,0)/K401)/(1+'Parâmetros'!$C$13)^((C401-$A$5)/30),2)))</x:f>
      </x:c>
      <x:c r="T401" s="131" t="str">
        <x:f>IF(A401="","",0)</x:f>
      </x:c>
      <x:c r="U401" s="131" t="str">
        <x:f>IF(A401="","",0)</x:f>
      </x:c>
      <x:c r="V401" s="131" t="str">
        <x:f>IF(A401="","",IF(N401="Paga",0,IF(O401&gt;0,R401,S401)))</x:f>
      </x:c>
      <x:c r="W401" s="131" t="str">
        <x:f>IF(A401="","",ROUND(MAX(D401-F401,0),2))</x:f>
      </x:c>
      <x:c r="X401" s="131" t="str">
        <x:f>IF(A401="","",ROUND(SUM($G401:$G$407),2))</x:f>
      </x:c>
      <x:c r="Y401" s="131" t="str">
        <x:f>IF(A401="","",ROUND(MAX(X401-D401,0),2))</x:f>
      </x:c>
      <x:c r="Z401" s="131" t="str">
        <x:f>IF(A401="","",ROUND(SUM($V401:$V$407),2))</x:f>
      </x:c>
      <x:c r="AA401" s="131" t="str">
        <x:f>IF(A401="","",ROUND(SUM($K401:$K$407)-Z401,2))</x:f>
      </x:c>
      <x:c r="AB401" s="77"/>
      <x:c r="AC401" s="36" t="str">
        <x:f>IF(A401="","",IF(O401&gt;0,"Vencido: saldo da fatura + mora",IF(O401&lt;=0,"Vincendo: VP da parcela financeira; comissão/proteção futuras isentas","")))</x:f>
      </x:c>
    </x:row>
    <x:row r="402">
      <x:c r="A402" s="129" t="str">
        <x:f>IF(ROW()-7&lt;=Contrato!$C$16,ROW()-7,"")</x:f>
      </x:c>
      <x:c r="B402" s="129" t="str">
        <x:f>IF(A402="","",Contrato!$C$16)</x:f>
      </x:c>
      <x:c r="C402" s="130" t="str">
        <x:f>IF(A402="","",IF(AB402&lt;&gt;"",AB402,IF(Contrato!$C$14="Mensal",EDATE(Contrato!$C$13,A402-1),Contrato!$C$13+(A402-1)*IF(Contrato!$C$14="Quinzenal",14,IF(Contrato!$C$14="Semanal",7,1)))))</x:f>
      </x:c>
      <x:c r="D402" s="131" t="str">
        <x:f>IF(A402="","",W401)</x:f>
      </x:c>
      <x:c r="E402" s="131" t="str">
        <x:f>IF(A402="","",ROUND(D402*Simulador!$I$18,2))</x:f>
      </x:c>
      <x:c r="F402" s="131" t="str">
        <x:f>IF(A402="","",ROUND(MIN(D402,MAX(G402-E402,0)),2))</x:f>
      </x:c>
      <x:c r="G402" s="131" t="str">
        <x:f>IF(A402="","",IF(A402&lt;Contrato!$C$16,Contrato!$C$27,Contrato!$C$28))</x:f>
      </x:c>
      <x:c r="H402" s="131" t="str">
        <x:f>IF(A402="","",Contrato!$C$29)</x:f>
      </x:c>
      <x:c r="I402" s="131" t="str">
        <x:f>IF(A402="","",Contrato!$C$30)</x:f>
      </x:c>
      <x:c r="J402" s="131" t="str">
        <x:f>IF(A402="","",Contrato!$C$31)</x:f>
      </x:c>
      <x:c r="K402" s="131" t="str">
        <x:f>IF(A402="","",ROUND(SUM(G402:J402),2))</x:f>
      </x:c>
      <x:c r="L402" s="80"/>
      <x:c r="M402" s="77"/>
      <x:c r="N402" s="29" t="str">
        <x:f>IF(A402="","",IF(L402&gt;=K402,"Paga",IF(L402&gt;0,"Paga parcialmente",IF(C402&lt;$A$5,"Vencida","Prevista"))))</x:f>
      </x:c>
      <x:c r="O402" s="29" t="str">
        <x:f>IF(A402="","",$A$5-C402)</x:f>
      </x:c>
      <x:c r="P402" s="131" t="str">
        <x:f>IF(A402="","",IF(AND(O402&gt;0,MAX(K402-L402,0)&gt;0,N402&lt;&gt;"Paga"),ROUND(MAX(K402-L402,0)*'Parâmetros'!$B$34,2),0))</x:f>
      </x:c>
      <x:c r="Q402" s="131" t="str">
        <x:f>IF(A402="","",IF(AND(O402&gt;0,MAX(K402-L402,0)&gt;0,N402&lt;&gt;"Paga"),ROUND(MAX(K402-L402,0)*'Parâmetros'!$B$35*(O402/'Parâmetros'!$B$33),2),0))</x:f>
      </x:c>
      <x:c r="R402" s="131" t="str">
        <x:f>IF(A402="","",IF(O402&gt;0,ROUND(MAX(K402-L402,0)+P402+Q402,2),0))</x:f>
      </x:c>
      <x:c r="S402" s="131" t="str">
        <x:f>IF(A402="","",IF(OR(N402="Paga",O402&gt;0),0,ROUND(IF(K402=0,0,G402*MAX(K402-L402,0)/K402)/(1+'Parâmetros'!$C$13)^((C402-$A$5)/30),2)))</x:f>
      </x:c>
      <x:c r="T402" s="131" t="str">
        <x:f>IF(A402="","",0)</x:f>
      </x:c>
      <x:c r="U402" s="131" t="str">
        <x:f>IF(A402="","",0)</x:f>
      </x:c>
      <x:c r="V402" s="131" t="str">
        <x:f>IF(A402="","",IF(N402="Paga",0,IF(O402&gt;0,R402,S402)))</x:f>
      </x:c>
      <x:c r="W402" s="131" t="str">
        <x:f>IF(A402="","",ROUND(MAX(D402-F402,0),2))</x:f>
      </x:c>
      <x:c r="X402" s="131" t="str">
        <x:f>IF(A402="","",ROUND(SUM($G402:$G$407),2))</x:f>
      </x:c>
      <x:c r="Y402" s="131" t="str">
        <x:f>IF(A402="","",ROUND(MAX(X402-D402,0),2))</x:f>
      </x:c>
      <x:c r="Z402" s="131" t="str">
        <x:f>IF(A402="","",ROUND(SUM($V402:$V$407),2))</x:f>
      </x:c>
      <x:c r="AA402" s="131" t="str">
        <x:f>IF(A402="","",ROUND(SUM($K402:$K$407)-Z402,2))</x:f>
      </x:c>
      <x:c r="AB402" s="77"/>
      <x:c r="AC402" s="36" t="str">
        <x:f>IF(A402="","",IF(O402&gt;0,"Vencido: saldo da fatura + mora",IF(O402&lt;=0,"Vincendo: VP da parcela financeira; comissão/proteção futuras isentas","")))</x:f>
      </x:c>
    </x:row>
    <x:row r="403">
      <x:c r="A403" s="129" t="str">
        <x:f>IF(ROW()-7&lt;=Contrato!$C$16,ROW()-7,"")</x:f>
      </x:c>
      <x:c r="B403" s="129" t="str">
        <x:f>IF(A403="","",Contrato!$C$16)</x:f>
      </x:c>
      <x:c r="C403" s="130" t="str">
        <x:f>IF(A403="","",IF(AB403&lt;&gt;"",AB403,IF(Contrato!$C$14="Mensal",EDATE(Contrato!$C$13,A403-1),Contrato!$C$13+(A403-1)*IF(Contrato!$C$14="Quinzenal",14,IF(Contrato!$C$14="Semanal",7,1)))))</x:f>
      </x:c>
      <x:c r="D403" s="131" t="str">
        <x:f>IF(A403="","",W402)</x:f>
      </x:c>
      <x:c r="E403" s="131" t="str">
        <x:f>IF(A403="","",ROUND(D403*Simulador!$I$18,2))</x:f>
      </x:c>
      <x:c r="F403" s="131" t="str">
        <x:f>IF(A403="","",ROUND(MIN(D403,MAX(G403-E403,0)),2))</x:f>
      </x:c>
      <x:c r="G403" s="131" t="str">
        <x:f>IF(A403="","",IF(A403&lt;Contrato!$C$16,Contrato!$C$27,Contrato!$C$28))</x:f>
      </x:c>
      <x:c r="H403" s="131" t="str">
        <x:f>IF(A403="","",Contrato!$C$29)</x:f>
      </x:c>
      <x:c r="I403" s="131" t="str">
        <x:f>IF(A403="","",Contrato!$C$30)</x:f>
      </x:c>
      <x:c r="J403" s="131" t="str">
        <x:f>IF(A403="","",Contrato!$C$31)</x:f>
      </x:c>
      <x:c r="K403" s="131" t="str">
        <x:f>IF(A403="","",ROUND(SUM(G403:J403),2))</x:f>
      </x:c>
      <x:c r="L403" s="80"/>
      <x:c r="M403" s="77"/>
      <x:c r="N403" s="29" t="str">
        <x:f>IF(A403="","",IF(L403&gt;=K403,"Paga",IF(L403&gt;0,"Paga parcialmente",IF(C403&lt;$A$5,"Vencida","Prevista"))))</x:f>
      </x:c>
      <x:c r="O403" s="29" t="str">
        <x:f>IF(A403="","",$A$5-C403)</x:f>
      </x:c>
      <x:c r="P403" s="131" t="str">
        <x:f>IF(A403="","",IF(AND(O403&gt;0,MAX(K403-L403,0)&gt;0,N403&lt;&gt;"Paga"),ROUND(MAX(K403-L403,0)*'Parâmetros'!$B$34,2),0))</x:f>
      </x:c>
      <x:c r="Q403" s="131" t="str">
        <x:f>IF(A403="","",IF(AND(O403&gt;0,MAX(K403-L403,0)&gt;0,N403&lt;&gt;"Paga"),ROUND(MAX(K403-L403,0)*'Parâmetros'!$B$35*(O403/'Parâmetros'!$B$33),2),0))</x:f>
      </x:c>
      <x:c r="R403" s="131" t="str">
        <x:f>IF(A403="","",IF(O403&gt;0,ROUND(MAX(K403-L403,0)+P403+Q403,2),0))</x:f>
      </x:c>
      <x:c r="S403" s="131" t="str">
        <x:f>IF(A403="","",IF(OR(N403="Paga",O403&gt;0),0,ROUND(IF(K403=0,0,G403*MAX(K403-L403,0)/K403)/(1+'Parâmetros'!$C$13)^((C403-$A$5)/30),2)))</x:f>
      </x:c>
      <x:c r="T403" s="131" t="str">
        <x:f>IF(A403="","",0)</x:f>
      </x:c>
      <x:c r="U403" s="131" t="str">
        <x:f>IF(A403="","",0)</x:f>
      </x:c>
      <x:c r="V403" s="131" t="str">
        <x:f>IF(A403="","",IF(N403="Paga",0,IF(O403&gt;0,R403,S403)))</x:f>
      </x:c>
      <x:c r="W403" s="131" t="str">
        <x:f>IF(A403="","",ROUND(MAX(D403-F403,0),2))</x:f>
      </x:c>
      <x:c r="X403" s="131" t="str">
        <x:f>IF(A403="","",ROUND(SUM($G403:$G$407),2))</x:f>
      </x:c>
      <x:c r="Y403" s="131" t="str">
        <x:f>IF(A403="","",ROUND(MAX(X403-D403,0),2))</x:f>
      </x:c>
      <x:c r="Z403" s="131" t="str">
        <x:f>IF(A403="","",ROUND(SUM($V403:$V$407),2))</x:f>
      </x:c>
      <x:c r="AA403" s="131" t="str">
        <x:f>IF(A403="","",ROUND(SUM($K403:$K$407)-Z403,2))</x:f>
      </x:c>
      <x:c r="AB403" s="77"/>
      <x:c r="AC403" s="36" t="str">
        <x:f>IF(A403="","",IF(O403&gt;0,"Vencido: saldo da fatura + mora",IF(O403&lt;=0,"Vincendo: VP da parcela financeira; comissão/proteção futuras isentas","")))</x:f>
      </x:c>
    </x:row>
    <x:row r="404">
      <x:c r="A404" s="129" t="str">
        <x:f>IF(ROW()-7&lt;=Contrato!$C$16,ROW()-7,"")</x:f>
      </x:c>
      <x:c r="B404" s="129" t="str">
        <x:f>IF(A404="","",Contrato!$C$16)</x:f>
      </x:c>
      <x:c r="C404" s="130" t="str">
        <x:f>IF(A404="","",IF(AB404&lt;&gt;"",AB404,IF(Contrato!$C$14="Mensal",EDATE(Contrato!$C$13,A404-1),Contrato!$C$13+(A404-1)*IF(Contrato!$C$14="Quinzenal",14,IF(Contrato!$C$14="Semanal",7,1)))))</x:f>
      </x:c>
      <x:c r="D404" s="131" t="str">
        <x:f>IF(A404="","",W403)</x:f>
      </x:c>
      <x:c r="E404" s="131" t="str">
        <x:f>IF(A404="","",ROUND(D404*Simulador!$I$18,2))</x:f>
      </x:c>
      <x:c r="F404" s="131" t="str">
        <x:f>IF(A404="","",ROUND(MIN(D404,MAX(G404-E404,0)),2))</x:f>
      </x:c>
      <x:c r="G404" s="131" t="str">
        <x:f>IF(A404="","",IF(A404&lt;Contrato!$C$16,Contrato!$C$27,Contrato!$C$28))</x:f>
      </x:c>
      <x:c r="H404" s="131" t="str">
        <x:f>IF(A404="","",Contrato!$C$29)</x:f>
      </x:c>
      <x:c r="I404" s="131" t="str">
        <x:f>IF(A404="","",Contrato!$C$30)</x:f>
      </x:c>
      <x:c r="J404" s="131" t="str">
        <x:f>IF(A404="","",Contrato!$C$31)</x:f>
      </x:c>
      <x:c r="K404" s="131" t="str">
        <x:f>IF(A404="","",ROUND(SUM(G404:J404),2))</x:f>
      </x:c>
      <x:c r="L404" s="80"/>
      <x:c r="M404" s="77"/>
      <x:c r="N404" s="29" t="str">
        <x:f>IF(A404="","",IF(L404&gt;=K404,"Paga",IF(L404&gt;0,"Paga parcialmente",IF(C404&lt;$A$5,"Vencida","Prevista"))))</x:f>
      </x:c>
      <x:c r="O404" s="29" t="str">
        <x:f>IF(A404="","",$A$5-C404)</x:f>
      </x:c>
      <x:c r="P404" s="131" t="str">
        <x:f>IF(A404="","",IF(AND(O404&gt;0,MAX(K404-L404,0)&gt;0,N404&lt;&gt;"Paga"),ROUND(MAX(K404-L404,0)*'Parâmetros'!$B$34,2),0))</x:f>
      </x:c>
      <x:c r="Q404" s="131" t="str">
        <x:f>IF(A404="","",IF(AND(O404&gt;0,MAX(K404-L404,0)&gt;0,N404&lt;&gt;"Paga"),ROUND(MAX(K404-L404,0)*'Parâmetros'!$B$35*(O404/'Parâmetros'!$B$33),2),0))</x:f>
      </x:c>
      <x:c r="R404" s="131" t="str">
        <x:f>IF(A404="","",IF(O404&gt;0,ROUND(MAX(K404-L404,0)+P404+Q404,2),0))</x:f>
      </x:c>
      <x:c r="S404" s="131" t="str">
        <x:f>IF(A404="","",IF(OR(N404="Paga",O404&gt;0),0,ROUND(IF(K404=0,0,G404*MAX(K404-L404,0)/K404)/(1+'Parâmetros'!$C$13)^((C404-$A$5)/30),2)))</x:f>
      </x:c>
      <x:c r="T404" s="131" t="str">
        <x:f>IF(A404="","",0)</x:f>
      </x:c>
      <x:c r="U404" s="131" t="str">
        <x:f>IF(A404="","",0)</x:f>
      </x:c>
      <x:c r="V404" s="131" t="str">
        <x:f>IF(A404="","",IF(N404="Paga",0,IF(O404&gt;0,R404,S404)))</x:f>
      </x:c>
      <x:c r="W404" s="131" t="str">
        <x:f>IF(A404="","",ROUND(MAX(D404-F404,0),2))</x:f>
      </x:c>
      <x:c r="X404" s="131" t="str">
        <x:f>IF(A404="","",ROUND(SUM($G404:$G$407),2))</x:f>
      </x:c>
      <x:c r="Y404" s="131" t="str">
        <x:f>IF(A404="","",ROUND(MAX(X404-D404,0),2))</x:f>
      </x:c>
      <x:c r="Z404" s="131" t="str">
        <x:f>IF(A404="","",ROUND(SUM($V404:$V$407),2))</x:f>
      </x:c>
      <x:c r="AA404" s="131" t="str">
        <x:f>IF(A404="","",ROUND(SUM($K404:$K$407)-Z404,2))</x:f>
      </x:c>
      <x:c r="AB404" s="77"/>
      <x:c r="AC404" s="36" t="str">
        <x:f>IF(A404="","",IF(O404&gt;0,"Vencido: saldo da fatura + mora",IF(O404&lt;=0,"Vincendo: VP da parcela financeira; comissão/proteção futuras isentas","")))</x:f>
      </x:c>
    </x:row>
    <x:row r="405">
      <x:c r="A405" s="129" t="str">
        <x:f>IF(ROW()-7&lt;=Contrato!$C$16,ROW()-7,"")</x:f>
      </x:c>
      <x:c r="B405" s="129" t="str">
        <x:f>IF(A405="","",Contrato!$C$16)</x:f>
      </x:c>
      <x:c r="C405" s="130" t="str">
        <x:f>IF(A405="","",IF(AB405&lt;&gt;"",AB405,IF(Contrato!$C$14="Mensal",EDATE(Contrato!$C$13,A405-1),Contrato!$C$13+(A405-1)*IF(Contrato!$C$14="Quinzenal",14,IF(Contrato!$C$14="Semanal",7,1)))))</x:f>
      </x:c>
      <x:c r="D405" s="131" t="str">
        <x:f>IF(A405="","",W404)</x:f>
      </x:c>
      <x:c r="E405" s="131" t="str">
        <x:f>IF(A405="","",ROUND(D405*Simulador!$I$18,2))</x:f>
      </x:c>
      <x:c r="F405" s="131" t="str">
        <x:f>IF(A405="","",ROUND(MIN(D405,MAX(G405-E405,0)),2))</x:f>
      </x:c>
      <x:c r="G405" s="131" t="str">
        <x:f>IF(A405="","",IF(A405&lt;Contrato!$C$16,Contrato!$C$27,Contrato!$C$28))</x:f>
      </x:c>
      <x:c r="H405" s="131" t="str">
        <x:f>IF(A405="","",Contrato!$C$29)</x:f>
      </x:c>
      <x:c r="I405" s="131" t="str">
        <x:f>IF(A405="","",Contrato!$C$30)</x:f>
      </x:c>
      <x:c r="J405" s="131" t="str">
        <x:f>IF(A405="","",Contrato!$C$31)</x:f>
      </x:c>
      <x:c r="K405" s="131" t="str">
        <x:f>IF(A405="","",ROUND(SUM(G405:J405),2))</x:f>
      </x:c>
      <x:c r="L405" s="80"/>
      <x:c r="M405" s="77"/>
      <x:c r="N405" s="29" t="str">
        <x:f>IF(A405="","",IF(L405&gt;=K405,"Paga",IF(L405&gt;0,"Paga parcialmente",IF(C405&lt;$A$5,"Vencida","Prevista"))))</x:f>
      </x:c>
      <x:c r="O405" s="29" t="str">
        <x:f>IF(A405="","",$A$5-C405)</x:f>
      </x:c>
      <x:c r="P405" s="131" t="str">
        <x:f>IF(A405="","",IF(AND(O405&gt;0,MAX(K405-L405,0)&gt;0,N405&lt;&gt;"Paga"),ROUND(MAX(K405-L405,0)*'Parâmetros'!$B$34,2),0))</x:f>
      </x:c>
      <x:c r="Q405" s="131" t="str">
        <x:f>IF(A405="","",IF(AND(O405&gt;0,MAX(K405-L405,0)&gt;0,N405&lt;&gt;"Paga"),ROUND(MAX(K405-L405,0)*'Parâmetros'!$B$35*(O405/'Parâmetros'!$B$33),2),0))</x:f>
      </x:c>
      <x:c r="R405" s="131" t="str">
        <x:f>IF(A405="","",IF(O405&gt;0,ROUND(MAX(K405-L405,0)+P405+Q405,2),0))</x:f>
      </x:c>
      <x:c r="S405" s="131" t="str">
        <x:f>IF(A405="","",IF(OR(N405="Paga",O405&gt;0),0,ROUND(IF(K405=0,0,G405*MAX(K405-L405,0)/K405)/(1+'Parâmetros'!$C$13)^((C405-$A$5)/30),2)))</x:f>
      </x:c>
      <x:c r="T405" s="131" t="str">
        <x:f>IF(A405="","",0)</x:f>
      </x:c>
      <x:c r="U405" s="131" t="str">
        <x:f>IF(A405="","",0)</x:f>
      </x:c>
      <x:c r="V405" s="131" t="str">
        <x:f>IF(A405="","",IF(N405="Paga",0,IF(O405&gt;0,R405,S405)))</x:f>
      </x:c>
      <x:c r="W405" s="131" t="str">
        <x:f>IF(A405="","",ROUND(MAX(D405-F405,0),2))</x:f>
      </x:c>
      <x:c r="X405" s="131" t="str">
        <x:f>IF(A405="","",ROUND(SUM($G405:$G$407),2))</x:f>
      </x:c>
      <x:c r="Y405" s="131" t="str">
        <x:f>IF(A405="","",ROUND(MAX(X405-D405,0),2))</x:f>
      </x:c>
      <x:c r="Z405" s="131" t="str">
        <x:f>IF(A405="","",ROUND(SUM($V405:$V$407),2))</x:f>
      </x:c>
      <x:c r="AA405" s="131" t="str">
        <x:f>IF(A405="","",ROUND(SUM($K405:$K$407)-Z405,2))</x:f>
      </x:c>
      <x:c r="AB405" s="77"/>
      <x:c r="AC405" s="36" t="str">
        <x:f>IF(A405="","",IF(O405&gt;0,"Vencido: saldo da fatura + mora",IF(O405&lt;=0,"Vincendo: VP da parcela financeira; comissão/proteção futuras isentas","")))</x:f>
      </x:c>
    </x:row>
    <x:row r="406">
      <x:c r="A406" s="129" t="str">
        <x:f>IF(ROW()-7&lt;=Contrato!$C$16,ROW()-7,"")</x:f>
      </x:c>
      <x:c r="B406" s="129" t="str">
        <x:f>IF(A406="","",Contrato!$C$16)</x:f>
      </x:c>
      <x:c r="C406" s="130" t="str">
        <x:f>IF(A406="","",IF(AB406&lt;&gt;"",AB406,IF(Contrato!$C$14="Mensal",EDATE(Contrato!$C$13,A406-1),Contrato!$C$13+(A406-1)*IF(Contrato!$C$14="Quinzenal",14,IF(Contrato!$C$14="Semanal",7,1)))))</x:f>
      </x:c>
      <x:c r="D406" s="131" t="str">
        <x:f>IF(A406="","",W405)</x:f>
      </x:c>
      <x:c r="E406" s="131" t="str">
        <x:f>IF(A406="","",ROUND(D406*Simulador!$I$18,2))</x:f>
      </x:c>
      <x:c r="F406" s="131" t="str">
        <x:f>IF(A406="","",ROUND(MIN(D406,MAX(G406-E406,0)),2))</x:f>
      </x:c>
      <x:c r="G406" s="131" t="str">
        <x:f>IF(A406="","",IF(A406&lt;Contrato!$C$16,Contrato!$C$27,Contrato!$C$28))</x:f>
      </x:c>
      <x:c r="H406" s="131" t="str">
        <x:f>IF(A406="","",Contrato!$C$29)</x:f>
      </x:c>
      <x:c r="I406" s="131" t="str">
        <x:f>IF(A406="","",Contrato!$C$30)</x:f>
      </x:c>
      <x:c r="J406" s="131" t="str">
        <x:f>IF(A406="","",Contrato!$C$31)</x:f>
      </x:c>
      <x:c r="K406" s="131" t="str">
        <x:f>IF(A406="","",ROUND(SUM(G406:J406),2))</x:f>
      </x:c>
      <x:c r="L406" s="80"/>
      <x:c r="M406" s="77"/>
      <x:c r="N406" s="29" t="str">
        <x:f>IF(A406="","",IF(L406&gt;=K406,"Paga",IF(L406&gt;0,"Paga parcialmente",IF(C406&lt;$A$5,"Vencida","Prevista"))))</x:f>
      </x:c>
      <x:c r="O406" s="29" t="str">
        <x:f>IF(A406="","",$A$5-C406)</x:f>
      </x:c>
      <x:c r="P406" s="131" t="str">
        <x:f>IF(A406="","",IF(AND(O406&gt;0,MAX(K406-L406,0)&gt;0,N406&lt;&gt;"Paga"),ROUND(MAX(K406-L406,0)*'Parâmetros'!$B$34,2),0))</x:f>
      </x:c>
      <x:c r="Q406" s="131" t="str">
        <x:f>IF(A406="","",IF(AND(O406&gt;0,MAX(K406-L406,0)&gt;0,N406&lt;&gt;"Paga"),ROUND(MAX(K406-L406,0)*'Parâmetros'!$B$35*(O406/'Parâmetros'!$B$33),2),0))</x:f>
      </x:c>
      <x:c r="R406" s="131" t="str">
        <x:f>IF(A406="","",IF(O406&gt;0,ROUND(MAX(K406-L406,0)+P406+Q406,2),0))</x:f>
      </x:c>
      <x:c r="S406" s="131" t="str">
        <x:f>IF(A406="","",IF(OR(N406="Paga",O406&gt;0),0,ROUND(IF(K406=0,0,G406*MAX(K406-L406,0)/K406)/(1+'Parâmetros'!$C$13)^((C406-$A$5)/30),2)))</x:f>
      </x:c>
      <x:c r="T406" s="131" t="str">
        <x:f>IF(A406="","",0)</x:f>
      </x:c>
      <x:c r="U406" s="131" t="str">
        <x:f>IF(A406="","",0)</x:f>
      </x:c>
      <x:c r="V406" s="131" t="str">
        <x:f>IF(A406="","",IF(N406="Paga",0,IF(O406&gt;0,R406,S406)))</x:f>
      </x:c>
      <x:c r="W406" s="131" t="str">
        <x:f>IF(A406="","",ROUND(MAX(D406-F406,0),2))</x:f>
      </x:c>
      <x:c r="X406" s="131" t="str">
        <x:f>IF(A406="","",ROUND(SUM($G406:$G$407),2))</x:f>
      </x:c>
      <x:c r="Y406" s="131" t="str">
        <x:f>IF(A406="","",ROUND(MAX(X406-D406,0),2))</x:f>
      </x:c>
      <x:c r="Z406" s="131" t="str">
        <x:f>IF(A406="","",ROUND(SUM($V406:$V$407),2))</x:f>
      </x:c>
      <x:c r="AA406" s="131" t="str">
        <x:f>IF(A406="","",ROUND(SUM($K406:$K$407)-Z406,2))</x:f>
      </x:c>
      <x:c r="AB406" s="77"/>
      <x:c r="AC406" s="36" t="str">
        <x:f>IF(A406="","",IF(O406&gt;0,"Vencido: saldo da fatura + mora",IF(O406&lt;=0,"Vincendo: VP da parcela financeira; comissão/proteção futuras isentas","")))</x:f>
      </x:c>
    </x:row>
    <x:row r="407">
      <x:c r="A407" s="129" t="str">
        <x:f>IF(ROW()-7&lt;=Contrato!$C$16,ROW()-7,"")</x:f>
      </x:c>
      <x:c r="B407" s="129" t="str">
        <x:f>IF(A407="","",Contrato!$C$16)</x:f>
      </x:c>
      <x:c r="C407" s="130" t="str">
        <x:f>IF(A407="","",IF(AB407&lt;&gt;"",AB407,IF(Contrato!$C$14="Mensal",EDATE(Contrato!$C$13,A407-1),Contrato!$C$13+(A407-1)*IF(Contrato!$C$14="Quinzenal",14,IF(Contrato!$C$14="Semanal",7,1)))))</x:f>
      </x:c>
      <x:c r="D407" s="131" t="str">
        <x:f>IF(A407="","",W406)</x:f>
      </x:c>
      <x:c r="E407" s="131" t="str">
        <x:f>IF(A407="","",ROUND(D407*Simulador!$I$18,2))</x:f>
      </x:c>
      <x:c r="F407" s="131" t="str">
        <x:f>IF(A407="","",ROUND(MIN(D407,MAX(G407-E407,0)),2))</x:f>
      </x:c>
      <x:c r="G407" s="131" t="str">
        <x:f>IF(A407="","",IF(A407&lt;Contrato!$C$16,Contrato!$C$27,Contrato!$C$28))</x:f>
      </x:c>
      <x:c r="H407" s="131" t="str">
        <x:f>IF(A407="","",Contrato!$C$29)</x:f>
      </x:c>
      <x:c r="I407" s="131" t="str">
        <x:f>IF(A407="","",Contrato!$C$30)</x:f>
      </x:c>
      <x:c r="J407" s="131" t="str">
        <x:f>IF(A407="","",Contrato!$C$31)</x:f>
      </x:c>
      <x:c r="K407" s="131" t="str">
        <x:f>IF(A407="","",ROUND(SUM(G407:J407),2))</x:f>
      </x:c>
      <x:c r="L407" s="80"/>
      <x:c r="M407" s="77"/>
      <x:c r="N407" s="29" t="str">
        <x:f>IF(A407="","",IF(L407&gt;=K407,"Paga",IF(L407&gt;0,"Paga parcialmente",IF(C407&lt;$A$5,"Vencida","Prevista"))))</x:f>
      </x:c>
      <x:c r="O407" s="29" t="str">
        <x:f>IF(A407="","",$A$5-C407)</x:f>
      </x:c>
      <x:c r="P407" s="131" t="str">
        <x:f>IF(A407="","",IF(AND(O407&gt;0,MAX(K407-L407,0)&gt;0,N407&lt;&gt;"Paga"),ROUND(MAX(K407-L407,0)*'Parâmetros'!$B$34,2),0))</x:f>
      </x:c>
      <x:c r="Q407" s="131" t="str">
        <x:f>IF(A407="","",IF(AND(O407&gt;0,MAX(K407-L407,0)&gt;0,N407&lt;&gt;"Paga"),ROUND(MAX(K407-L407,0)*'Parâmetros'!$B$35*(O407/'Parâmetros'!$B$33),2),0))</x:f>
      </x:c>
      <x:c r="R407" s="131" t="str">
        <x:f>IF(A407="","",IF(O407&gt;0,ROUND(MAX(K407-L407,0)+P407+Q407,2),0))</x:f>
      </x:c>
      <x:c r="S407" s="131" t="str">
        <x:f>IF(A407="","",IF(OR(N407="Paga",O407&gt;0),0,ROUND(IF(K407=0,0,G407*MAX(K407-L407,0)/K407)/(1+'Parâmetros'!$C$13)^((C407-$A$5)/30),2)))</x:f>
      </x:c>
      <x:c r="T407" s="131" t="str">
        <x:f>IF(A407="","",0)</x:f>
      </x:c>
      <x:c r="U407" s="131" t="str">
        <x:f>IF(A407="","",0)</x:f>
      </x:c>
      <x:c r="V407" s="131" t="str">
        <x:f>IF(A407="","",IF(N407="Paga",0,IF(O407&gt;0,R407,S407)))</x:f>
      </x:c>
      <x:c r="W407" s="131" t="str">
        <x:f>IF(A407="","",ROUND(MAX(D407-F407,0),2))</x:f>
      </x:c>
      <x:c r="X407" s="131" t="str">
        <x:f>IF(A407="","",ROUND(SUM($G407:$G$407),2))</x:f>
      </x:c>
      <x:c r="Y407" s="131" t="str">
        <x:f>IF(A407="","",ROUND(MAX(X407-D407,0),2))</x:f>
      </x:c>
      <x:c r="Z407" s="131" t="str">
        <x:f>IF(A407="","",ROUND(SUM($V407:$V$407),2))</x:f>
      </x:c>
      <x:c r="AA407" s="131" t="str">
        <x:f>IF(A407="","",ROUND(SUM($K407:$K$407)-Z407,2))</x:f>
      </x:c>
      <x:c r="AB407" s="77"/>
      <x:c r="AC407" s="36" t="str">
        <x:f>IF(A407="","",IF(O407&gt;0,"Vencido: saldo da fatura + mora",IF(O407&lt;=0,"Vincendo: VP da parcela financeira; comissão/proteção futuras isentas","")))</x:f>
      </x:c>
    </x:row>
  </x:sheetData>
  <x:mergeCells>
    <x:mergeCell ref="A1:AC1"/>
    <x:mergeCell ref="A2:AC2"/>
  </x:mergeCells>
  <x:pageMargins left="0.7" right="0.7" top="0.75" bottom="0.75" header="0.3" footer="0.3"/>
</x:worksheet>
</file>